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ahir/Downloads/DMU/HW3/"/>
    </mc:Choice>
  </mc:AlternateContent>
  <xr:revisionPtr revIDLastSave="0" documentId="13_ncr:1_{FC97F476-9C42-D945-B192-766C2185EFD1}" xr6:coauthVersionLast="47" xr6:coauthVersionMax="47" xr10:uidLastSave="{00000000-0000-0000-0000-000000000000}"/>
  <bookViews>
    <workbookView xWindow="400" yWindow="600" windowWidth="28000" windowHeight="16380" xr2:uid="{00000000-000D-0000-FFFF-FFFF00000000}"/>
  </bookViews>
  <sheets>
    <sheet name="Problem 1" sheetId="1" r:id="rId1"/>
    <sheet name="Problem 2" sheetId="2" r:id="rId2"/>
  </sheets>
  <definedNames>
    <definedName name="_xlnm.Print_Area" localSheetId="0">'Problem 1'!$A$1:$J$78</definedName>
    <definedName name="_xlnm.Print_Area" localSheetId="1">'Problem 2'!$A$1:$L$76</definedName>
    <definedName name="solver_adj" localSheetId="0" hidden="1">'Problem 1'!$B$57:$G$60</definedName>
    <definedName name="solver_adj" localSheetId="1" hidden="1">'Problem 2'!$B$24:$G$37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'Problem 1'!$B$57:$B$60</definedName>
    <definedName name="solver_lhs1" localSheetId="1" hidden="1">'Problem 2'!$B$24:$G$37</definedName>
    <definedName name="solver_lhs2" localSheetId="0" hidden="1">'Problem 1'!$C$57:$G$60</definedName>
    <definedName name="solver_lhs2" localSheetId="1" hidden="1">'Problem 2'!$B$39:$G$39</definedName>
    <definedName name="solver_lhs3" localSheetId="0" hidden="1">'Problem 1'!$C$64:$G$64</definedName>
    <definedName name="solver_lhs3" localSheetId="1" hidden="1">'Problem 2'!$H$24:$H$37</definedName>
    <definedName name="solver_lhs4" localSheetId="0" hidden="1">'Problem 1'!$K$57:$L$60</definedName>
    <definedName name="solver_lhs4" localSheetId="1" hidden="1">'Problem 2'!$H$37</definedName>
    <definedName name="solver_lhs5" localSheetId="0" hidden="1">'Problem 1'!$C$62:$G$62</definedName>
    <definedName name="solver_lhs5" localSheetId="1" hidden="1">'Problem 2'!$I$24:$L$37</definedName>
    <definedName name="solver_lin" localSheetId="0" hidden="1">1</definedName>
    <definedName name="solver_lin" localSheetId="1" hidden="1">1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4</definedName>
    <definedName name="solver_num" localSheetId="1" hidden="1">5</definedName>
    <definedName name="solver_nwt" localSheetId="0" hidden="1">1</definedName>
    <definedName name="solver_nwt" localSheetId="1" hidden="1">1</definedName>
    <definedName name="solver_opt" localSheetId="0" hidden="1">'Problem 1'!$B$66</definedName>
    <definedName name="solver_opt" localSheetId="1" hidden="1">'Problem 2'!$B$43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1</definedName>
    <definedName name="solver_rel1" localSheetId="0" hidden="1">5</definedName>
    <definedName name="solver_rel1" localSheetId="1" hidden="1">5</definedName>
    <definedName name="solver_rel2" localSheetId="0" hidden="1">4</definedName>
    <definedName name="solver_rel2" localSheetId="1" hidden="1">2</definedName>
    <definedName name="solver_rel3" localSheetId="0" hidden="1">2</definedName>
    <definedName name="solver_rel3" localSheetId="1" hidden="1">1</definedName>
    <definedName name="solver_rel4" localSheetId="0" hidden="1">3</definedName>
    <definedName name="solver_rel4" localSheetId="1" hidden="1">2</definedName>
    <definedName name="solver_rel5" localSheetId="0" hidden="1">2</definedName>
    <definedName name="solver_rel5" localSheetId="1" hidden="1">1</definedName>
    <definedName name="solver_rhs1" localSheetId="0" hidden="1">"binary"</definedName>
    <definedName name="solver_rhs1" localSheetId="1" hidden="1">"binary"</definedName>
    <definedName name="solver_rhs2" localSheetId="0" hidden="1">"integer"</definedName>
    <definedName name="solver_rhs2" localSheetId="1" hidden="1">1</definedName>
    <definedName name="solver_rhs3" localSheetId="0" hidden="1">0</definedName>
    <definedName name="solver_rhs3" localSheetId="1" hidden="1">2</definedName>
    <definedName name="solver_rhs4" localSheetId="0" hidden="1">0</definedName>
    <definedName name="solver_rhs4" localSheetId="1" hidden="1">2</definedName>
    <definedName name="solver_rhs5" localSheetId="0" hidden="1">'Problem 1'!$C$63:$G$63</definedName>
    <definedName name="solver_rhs5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</definedName>
    <definedName name="solver_tol" localSheetId="1" hidden="1">0</definedName>
    <definedName name="solver_typ" localSheetId="0" hidden="1">2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2</definedName>
    <definedName name="solver_ver" localSheetId="1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1" l="1"/>
  <c r="M24" i="1"/>
  <c r="M22" i="1" a="1"/>
  <c r="M22" i="1" s="1"/>
  <c r="M21" i="1"/>
  <c r="M89" i="1"/>
  <c r="M88" i="1"/>
  <c r="M87" i="1" a="1"/>
  <c r="M86" i="1" a="1"/>
  <c r="M86" i="1"/>
  <c r="M85" i="1" a="1"/>
  <c r="M85" i="1"/>
  <c r="M84" i="1" a="1"/>
  <c r="M84" i="1" s="1"/>
  <c r="M83" i="1"/>
  <c r="M55" i="1"/>
  <c r="M54" i="1"/>
  <c r="M53" i="1" a="1"/>
  <c r="M53" i="1"/>
  <c r="M52" i="1" a="1"/>
  <c r="M52" i="1" s="1"/>
  <c r="M50" i="1" a="1"/>
  <c r="M50" i="1" s="1"/>
  <c r="M49" i="1"/>
  <c r="N13" i="2"/>
  <c r="N12" i="2"/>
  <c r="N11" i="2" a="1"/>
  <c r="N9" i="2" a="1"/>
  <c r="N8" i="2" a="1"/>
  <c r="N7" i="2" a="1"/>
  <c r="N7" i="2" s="1"/>
  <c r="N6" i="2"/>
  <c r="M90" i="1"/>
  <c r="M56" i="1"/>
  <c r="B43" i="2"/>
  <c r="N5" i="2" s="1"/>
  <c r="G41" i="2"/>
  <c r="F41" i="2"/>
  <c r="E41" i="2"/>
  <c r="D41" i="2"/>
  <c r="C41" i="2"/>
  <c r="B41" i="2"/>
  <c r="G40" i="2"/>
  <c r="F40" i="2"/>
  <c r="E40" i="2"/>
  <c r="D40" i="2"/>
  <c r="C40" i="2"/>
  <c r="B40" i="2"/>
  <c r="G39" i="2"/>
  <c r="F39" i="2"/>
  <c r="E39" i="2"/>
  <c r="D39" i="2"/>
  <c r="C39" i="2"/>
  <c r="B39" i="2"/>
  <c r="N8" i="2" s="1"/>
  <c r="L37" i="2"/>
  <c r="K37" i="2"/>
  <c r="J37" i="2"/>
  <c r="I37" i="2"/>
  <c r="H37" i="2"/>
  <c r="N10" i="2" s="1"/>
  <c r="L36" i="2"/>
  <c r="K36" i="2"/>
  <c r="J36" i="2"/>
  <c r="I36" i="2"/>
  <c r="H36" i="2"/>
  <c r="L35" i="2"/>
  <c r="K35" i="2"/>
  <c r="J35" i="2"/>
  <c r="I35" i="2"/>
  <c r="H35" i="2"/>
  <c r="L34" i="2"/>
  <c r="K34" i="2"/>
  <c r="J34" i="2"/>
  <c r="I34" i="2"/>
  <c r="H34" i="2"/>
  <c r="L33" i="2"/>
  <c r="K33" i="2"/>
  <c r="J33" i="2"/>
  <c r="I33" i="2"/>
  <c r="H33" i="2"/>
  <c r="L32" i="2"/>
  <c r="K32" i="2"/>
  <c r="J32" i="2"/>
  <c r="I32" i="2"/>
  <c r="H32" i="2"/>
  <c r="L31" i="2"/>
  <c r="K31" i="2"/>
  <c r="J31" i="2"/>
  <c r="I31" i="2"/>
  <c r="H31" i="2"/>
  <c r="L30" i="2"/>
  <c r="K30" i="2"/>
  <c r="J30" i="2"/>
  <c r="I30" i="2"/>
  <c r="H30" i="2"/>
  <c r="L29" i="2"/>
  <c r="K29" i="2"/>
  <c r="J29" i="2"/>
  <c r="I29" i="2"/>
  <c r="H29" i="2"/>
  <c r="L28" i="2"/>
  <c r="K28" i="2"/>
  <c r="J28" i="2"/>
  <c r="I28" i="2"/>
  <c r="H28" i="2"/>
  <c r="L27" i="2"/>
  <c r="K27" i="2"/>
  <c r="J27" i="2"/>
  <c r="I27" i="2"/>
  <c r="H27" i="2"/>
  <c r="L26" i="2"/>
  <c r="K26" i="2"/>
  <c r="J26" i="2"/>
  <c r="I26" i="2"/>
  <c r="H26" i="2"/>
  <c r="L25" i="2"/>
  <c r="K25" i="2"/>
  <c r="J25" i="2"/>
  <c r="I25" i="2"/>
  <c r="H25" i="2"/>
  <c r="L24" i="2"/>
  <c r="K24" i="2"/>
  <c r="J24" i="2"/>
  <c r="I24" i="2"/>
  <c r="N11" i="2" s="1"/>
  <c r="H24" i="2"/>
  <c r="B69" i="1"/>
  <c r="B67" i="1"/>
  <c r="G63" i="1"/>
  <c r="F63" i="1"/>
  <c r="E63" i="1"/>
  <c r="D63" i="1"/>
  <c r="C63" i="1"/>
  <c r="G62" i="1"/>
  <c r="G64" i="1" s="1"/>
  <c r="F62" i="1"/>
  <c r="E62" i="1"/>
  <c r="E64" i="1" s="1"/>
  <c r="D62" i="1"/>
  <c r="D64" i="1" s="1"/>
  <c r="C62" i="1"/>
  <c r="C64" i="1" s="1"/>
  <c r="J60" i="1"/>
  <c r="I60" i="1"/>
  <c r="H60" i="1"/>
  <c r="J59" i="1"/>
  <c r="I59" i="1"/>
  <c r="H59" i="1"/>
  <c r="J58" i="1"/>
  <c r="I58" i="1"/>
  <c r="H58" i="1"/>
  <c r="J57" i="1"/>
  <c r="I57" i="1"/>
  <c r="H57" i="1"/>
  <c r="D46" i="1"/>
  <c r="B46" i="1"/>
  <c r="B47" i="1" s="1"/>
  <c r="M51" i="1" s="1"/>
  <c r="G41" i="1"/>
  <c r="F41" i="1"/>
  <c r="E41" i="1"/>
  <c r="I41" i="1" s="1"/>
  <c r="D41" i="1"/>
  <c r="H41" i="1" s="1"/>
  <c r="G40" i="1"/>
  <c r="F40" i="1"/>
  <c r="E40" i="1"/>
  <c r="I40" i="1" s="1"/>
  <c r="D40" i="1"/>
  <c r="H40" i="1" s="1"/>
  <c r="G39" i="1"/>
  <c r="F39" i="1"/>
  <c r="E39" i="1"/>
  <c r="I39" i="1" s="1"/>
  <c r="D39" i="1"/>
  <c r="H39" i="1" s="1"/>
  <c r="G38" i="1"/>
  <c r="F38" i="1"/>
  <c r="E38" i="1"/>
  <c r="D38" i="1"/>
  <c r="H38" i="1" s="1"/>
  <c r="D28" i="1"/>
  <c r="D25" i="1"/>
  <c r="C25" i="1"/>
  <c r="D24" i="1"/>
  <c r="C24" i="1"/>
  <c r="D23" i="1"/>
  <c r="C23" i="1"/>
  <c r="D22" i="1"/>
  <c r="C22" i="1"/>
  <c r="B17" i="1"/>
  <c r="N9" i="2" l="1"/>
  <c r="I38" i="1"/>
  <c r="B71" i="2"/>
  <c r="K60" i="1"/>
  <c r="L59" i="1"/>
  <c r="L60" i="1"/>
  <c r="K58" i="1"/>
  <c r="K57" i="1"/>
  <c r="M87" i="1" s="1"/>
  <c r="L57" i="1"/>
  <c r="L58" i="1"/>
  <c r="K59" i="1"/>
  <c r="D68" i="2"/>
  <c r="B45" i="1"/>
  <c r="B61" i="2"/>
  <c r="E72" i="2"/>
  <c r="D72" i="2"/>
  <c r="D70" i="2"/>
  <c r="E68" i="2"/>
  <c r="E66" i="2"/>
  <c r="D66" i="2"/>
  <c r="E64" i="2"/>
  <c r="D64" i="2"/>
  <c r="E62" i="2"/>
  <c r="D62" i="2"/>
  <c r="E70" i="2"/>
  <c r="B66" i="2"/>
  <c r="B68" i="2"/>
  <c r="B70" i="2"/>
  <c r="B72" i="2"/>
  <c r="C62" i="2"/>
  <c r="C64" i="2"/>
  <c r="C66" i="2"/>
  <c r="C68" i="2"/>
  <c r="C70" i="2"/>
  <c r="C72" i="2"/>
  <c r="C71" i="2"/>
  <c r="C61" i="2"/>
  <c r="B65" i="2"/>
  <c r="C65" i="2"/>
  <c r="C69" i="2"/>
  <c r="E65" i="2"/>
  <c r="D61" i="2"/>
  <c r="D65" i="2"/>
  <c r="D67" i="2"/>
  <c r="D69" i="2"/>
  <c r="D71" i="2"/>
  <c r="B67" i="2"/>
  <c r="C67" i="2"/>
  <c r="E67" i="2"/>
  <c r="E69" i="2"/>
  <c r="B62" i="2"/>
  <c r="B69" i="2"/>
  <c r="C63" i="2"/>
  <c r="B68" i="1"/>
  <c r="B66" i="1" s="1"/>
  <c r="M82" i="1" s="1"/>
  <c r="F64" i="1"/>
  <c r="B44" i="1"/>
  <c r="B28" i="1"/>
  <c r="B27" i="1"/>
  <c r="M20" i="1" s="1"/>
  <c r="B63" i="2"/>
  <c r="D63" i="2"/>
  <c r="E63" i="2"/>
  <c r="B64" i="2"/>
  <c r="E61" i="2"/>
  <c r="E71" i="2"/>
  <c r="B43" i="1"/>
  <c r="M48" i="1" s="1"/>
  <c r="B29" i="1" l="1"/>
  <c r="M23" i="1" s="1"/>
</calcChain>
</file>

<file path=xl/sharedStrings.xml><?xml version="1.0" encoding="utf-8"?>
<sst xmlns="http://schemas.openxmlformats.org/spreadsheetml/2006/main" count="136" uniqueCount="87">
  <si>
    <t>Homework 3 | Problem 1: Factory decisions</t>
  </si>
  <si>
    <t>Facility</t>
  </si>
  <si>
    <t>Construction ($)</t>
  </si>
  <si>
    <t>Production ($/car)</t>
  </si>
  <si>
    <t>Min production</t>
  </si>
  <si>
    <t>Max capacity</t>
  </si>
  <si>
    <t>Plant 1</t>
  </si>
  <si>
    <t>Plant 2</t>
  </si>
  <si>
    <t>Plant 3</t>
  </si>
  <si>
    <t>Plant 4</t>
  </si>
  <si>
    <t>Transport ($/car)</t>
  </si>
  <si>
    <t>Pittsburgh</t>
  </si>
  <si>
    <t>Chicago</t>
  </si>
  <si>
    <t>New York</t>
  </si>
  <si>
    <t>Washington, D.C.</t>
  </si>
  <si>
    <t>Boston</t>
  </si>
  <si>
    <t>Demand</t>
  </si>
  <si>
    <t>Total demand</t>
  </si>
  <si>
    <t>(a)-(c) Construction cost only</t>
  </si>
  <si>
    <t>Build (binary)</t>
  </si>
  <si>
    <t>Capacity</t>
  </si>
  <si>
    <t>Fixed cost ($)</t>
  </si>
  <si>
    <t>Construction cost</t>
  </si>
  <si>
    <t>Total capacity</t>
  </si>
  <si>
    <t>&gt;=</t>
  </si>
  <si>
    <t>Capacity slack</t>
  </si>
  <si>
    <t>Formulas: C22=B22*E5; D22=B22*B5, copied down. B27=SUM(D22:D25). B28=SUM(C22:C25).</t>
  </si>
  <si>
    <t>(d)-(f) Construction plus production costs</t>
  </si>
  <si>
    <t>Cars (integer)</t>
  </si>
  <si>
    <t>Min if built</t>
  </si>
  <si>
    <t>Max if built</t>
  </si>
  <si>
    <t>Production ($)</t>
  </si>
  <si>
    <t>Total cost</t>
  </si>
  <si>
    <t>Production cost</t>
  </si>
  <si>
    <t>Total cars</t>
  </si>
  <si>
    <t>Formulas: D38=B38*D5; E38=B38*E5; F38=B38*B5; G38=C38*C5, copied down. B43=SUM(F38:G41).</t>
  </si>
  <si>
    <t>(g)-(i) Construction, production and transportation costs</t>
  </si>
  <si>
    <t>Production</t>
  </si>
  <si>
    <t>Delivered</t>
  </si>
  <si>
    <t>Demand residual</t>
  </si>
  <si>
    <t>Transportation cost</t>
  </si>
  <si>
    <t>Solver: Min $B$66; change $B$57:$G$60; $B$57:$B$60 binary; $C$57:$G$60 integer.</t>
  </si>
  <si>
    <t>Formulas: H57=SUM(C57:G57); I57=B57*D5; J57=B57*E5, copied down. City totals use SUM of shipments.</t>
  </si>
  <si>
    <t>B67=SUMPRODUCT(B57:B60,B5:B8); B68=SUMPRODUCT(H57:H60,C5:C8); B69=SUMPRODUCT(C57:G60,B12:F15).</t>
  </si>
  <si>
    <t>Homework 3 | Problem 2: Match scheduling</t>
  </si>
  <si>
    <t>Input: Visibility scores by day</t>
  </si>
  <si>
    <t>Day</t>
  </si>
  <si>
    <t>C-G</t>
  </si>
  <si>
    <t>C-P</t>
  </si>
  <si>
    <t>NZ-G</t>
  </si>
  <si>
    <t>NZ-P</t>
  </si>
  <si>
    <t>C-NZ</t>
  </si>
  <si>
    <t>G-P</t>
  </si>
  <si>
    <t>(a)-(c) Optimal schedule: 1 means the match is played on that day</t>
  </si>
  <si>
    <t>Games</t>
  </si>
  <si>
    <t>Colombia</t>
  </si>
  <si>
    <t>New Zealand</t>
  </si>
  <si>
    <t>Germany</t>
  </si>
  <si>
    <t>Philippines</t>
  </si>
  <si>
    <t>Match count</t>
  </si>
  <si>
    <t>Match day</t>
  </si>
  <si>
    <t>Visibility</t>
  </si>
  <si>
    <t>Total visibility</t>
  </si>
  <si>
    <t>Solver: Max $B$43; change $B$24:$G$37; $B$24:$G$37 binary; $B$39:$G$39 = 1.</t>
  </si>
  <si>
    <t>Daily games: $H$24:$H$37 &lt;= 2. Team limits: $I$24:$L$37 &lt;= 1. Final day: $H$37 = 2.</t>
  </si>
  <si>
    <t>The two day-14 matches must share the same kickoff time. The model chooses days, not kickoff times.</t>
  </si>
  <si>
    <t>Formulas: H24=SUM(B24:G24); I24=B24+C24+F24; J24=D24+E24+F24; K24=B24+D24+G24; L24=C24+E24+G24.</t>
  </si>
  <si>
    <t>Copy daily formulas through row 37. B39=SUM(B24:B37); B40=SUMPRODUCT($A$24:$A$37,B24:B37), copied across.</t>
  </si>
  <si>
    <t>B41=SUMPRODUCT(B6:B19,B24:B37), copied across. B43=SUMPRODUCT(B6:G19,B24:G37).</t>
  </si>
  <si>
    <t>(d) Additional rest constraint</t>
  </si>
  <si>
    <t>For each team and each three-day window, the total number of its matches must be &lt;= 1.</t>
  </si>
  <si>
    <t>Mathematically: SUM over matches involving team t and days k,k+1,k+2 of x[m,d] &lt;= 1; k = 1,...,12.</t>
  </si>
  <si>
    <t>This ensures at least two full days of rest. Part (d) requests a formulation; the base solution above is unchanged.</t>
  </si>
  <si>
    <t>Window start</t>
  </si>
  <si>
    <t>To solve the rest variant, add $B$61:$E$72 &lt;= 1. Formulas: B61=SUM(I24:I26), copied across and down.</t>
  </si>
  <si>
    <t>Min slack</t>
  </si>
  <si>
    <t>Demand slack</t>
  </si>
  <si>
    <t>Solver: Min $B$43; change $B$38:$C$41; $B$47 &gt;= 0; $B$38:$B$41 binary; $C$38:$C$41 integer.</t>
  </si>
  <si>
    <t>Linking: $H$38:$I$41 &gt;= 0, where H=C-D and I=E-C. Nonnegative variables.</t>
  </si>
  <si>
    <t>Simplex LP; integer optimality 0%; ignore integer constraints OFF. Saved model: M48:M55.</t>
  </si>
  <si>
    <t>Constraints: $K$57:$L$60 &gt;= 0; $C$64:$G$64 = 0. K=H-I; L=J-H; city residuals=delivered-demand.</t>
  </si>
  <si>
    <t>Simplex LP; nonnegative variables; integer optimality 0%; ignore integer constraints OFF. Saved model: M82:M89.</t>
  </si>
  <si>
    <t>Simplex LP; nonnegative variables; integer optimality 0%. Saved Solver model: M20:M25.</t>
  </si>
  <si>
    <t>Solver: Min $B$27; change $B$22:$B$25; $B$29 &gt;= 0 (capacity minus demand); $B$22:$B$25 binary.</t>
  </si>
  <si>
    <t>Simplex LP; nonnegative variables; integer optimality 0%; ignore integer constraints OFF. Saved model: N5:N13.</t>
  </si>
  <si>
    <t>Name: Mahir Nagersheth, Sanath Mahesh Kumar   |    C: Colombia; NZ: New Zealand; G: Germany; P: Philippines</t>
  </si>
  <si>
    <t>Name: Mahir Nagersheth, Sanath Mahesh Kumar     |      AndrewID: mnagersh, sanathk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</si>
</sst>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  <xf numFmtId="3" fontId="0" fillId="0" borderId="0" xfId="0" applyNumberFormat="1"/>
    <xf numFmtId="1" fontId="0" fillId="0" borderId="0" xfId="0" applyNumberFormat="1" applyAlignment="1">
      <alignment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3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  <pageSetUpPr fitToPage="1"/>
  </sheetPr>
  <dimension ref="A1:M93"/>
  <sheetViews>
    <sheetView showGridLines="0" tabSelected="1" topLeftCell="A31" zoomScale="85" zoomScaleNormal="85" workbookViewId="0">
      <selection activeCell="A51" sqref="A51:I51"/>
    </sheetView>
  </sheetViews>
  <sheetFormatPr baseColWidth="10" defaultColWidth="8.83203125" defaultRowHeight="15" x14ac:dyDescent="0.2"/>
  <cols>
    <col min="1" max="1" width="25" customWidth="1"/>
    <col min="2" max="12" width="17" customWidth="1"/>
    <col min="13" max="13" width="17" hidden="1" customWidth="1"/>
  </cols>
  <sheetData>
    <row r="1" spans="1:9" ht="25" customHeight="1" x14ac:dyDescent="0.2">
      <c r="A1" s="9" t="s">
        <v>0</v>
      </c>
      <c r="B1" s="8"/>
      <c r="C1" s="8"/>
      <c r="D1" s="8"/>
      <c r="E1" s="8"/>
      <c r="F1" s="8"/>
      <c r="G1" s="8"/>
      <c r="H1" s="8"/>
      <c r="I1" s="8"/>
    </row>
    <row r="2" spans="1:9" ht="29" customHeight="1" x14ac:dyDescent="0.2">
      <c r="A2" s="7" t="s">
        <v>86</v>
      </c>
      <c r="B2" s="8"/>
      <c r="C2" s="8"/>
      <c r="D2" s="8"/>
      <c r="E2" s="8"/>
      <c r="F2" s="8"/>
      <c r="G2" s="8"/>
      <c r="H2" s="8"/>
      <c r="I2" s="8"/>
    </row>
    <row r="3" spans="1:9" ht="21" customHeight="1" x14ac:dyDescent="0.2"/>
    <row r="4" spans="1:9" ht="32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9" ht="21" customHeight="1" x14ac:dyDescent="0.2">
      <c r="A5" s="2" t="s">
        <v>6</v>
      </c>
      <c r="B5" s="3">
        <v>2100000</v>
      </c>
      <c r="C5" s="3">
        <v>380</v>
      </c>
      <c r="D5" s="4">
        <v>2000</v>
      </c>
      <c r="E5" s="4">
        <v>5000</v>
      </c>
    </row>
    <row r="6" spans="1:9" ht="21" customHeight="1" x14ac:dyDescent="0.2">
      <c r="A6" s="2" t="s">
        <v>7</v>
      </c>
      <c r="B6" s="3">
        <v>2800000</v>
      </c>
      <c r="C6" s="3">
        <v>165</v>
      </c>
      <c r="D6" s="4">
        <v>3000</v>
      </c>
      <c r="E6" s="4">
        <v>7000</v>
      </c>
    </row>
    <row r="7" spans="1:9" ht="21" customHeight="1" x14ac:dyDescent="0.2">
      <c r="A7" s="2" t="s">
        <v>8</v>
      </c>
      <c r="B7" s="3">
        <v>2400000</v>
      </c>
      <c r="C7" s="3">
        <v>155</v>
      </c>
      <c r="D7" s="4">
        <v>4000</v>
      </c>
      <c r="E7" s="4">
        <v>8000</v>
      </c>
    </row>
    <row r="8" spans="1:9" ht="21" customHeight="1" x14ac:dyDescent="0.2">
      <c r="A8" s="2" t="s">
        <v>9</v>
      </c>
      <c r="B8" s="3">
        <v>2700000</v>
      </c>
      <c r="C8" s="3">
        <v>170</v>
      </c>
      <c r="D8" s="4">
        <v>2500</v>
      </c>
      <c r="E8" s="4">
        <v>6000</v>
      </c>
    </row>
    <row r="9" spans="1:9" ht="21" customHeight="1" x14ac:dyDescent="0.2"/>
    <row r="10" spans="1:9" ht="21" customHeight="1" x14ac:dyDescent="0.2"/>
    <row r="11" spans="1:9" ht="32" customHeight="1" x14ac:dyDescent="0.2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14</v>
      </c>
      <c r="F11" s="1" t="s">
        <v>15</v>
      </c>
    </row>
    <row r="12" spans="1:9" ht="21" customHeight="1" x14ac:dyDescent="0.2">
      <c r="A12" s="2" t="s">
        <v>6</v>
      </c>
      <c r="B12" s="4">
        <v>18</v>
      </c>
      <c r="C12" s="4">
        <v>35</v>
      </c>
      <c r="D12" s="4">
        <v>50</v>
      </c>
      <c r="E12" s="4">
        <v>30</v>
      </c>
      <c r="F12" s="4">
        <v>20</v>
      </c>
    </row>
    <row r="13" spans="1:9" ht="21" customHeight="1" x14ac:dyDescent="0.2">
      <c r="A13" s="2" t="s">
        <v>7</v>
      </c>
      <c r="B13" s="4">
        <v>15</v>
      </c>
      <c r="C13" s="4">
        <v>10</v>
      </c>
      <c r="D13" s="4">
        <v>12</v>
      </c>
      <c r="E13" s="4">
        <v>10</v>
      </c>
      <c r="F13" s="4">
        <v>12</v>
      </c>
    </row>
    <row r="14" spans="1:9" ht="21" customHeight="1" x14ac:dyDescent="0.2">
      <c r="A14" s="2" t="s">
        <v>8</v>
      </c>
      <c r="B14" s="4">
        <v>40</v>
      </c>
      <c r="C14" s="4">
        <v>50</v>
      </c>
      <c r="D14" s="4">
        <v>30</v>
      </c>
      <c r="E14" s="4">
        <v>35</v>
      </c>
      <c r="F14" s="4">
        <v>25</v>
      </c>
    </row>
    <row r="15" spans="1:9" ht="21" customHeight="1" x14ac:dyDescent="0.2">
      <c r="A15" s="2" t="s">
        <v>9</v>
      </c>
      <c r="B15" s="4">
        <v>32</v>
      </c>
      <c r="C15" s="4">
        <v>25</v>
      </c>
      <c r="D15" s="4">
        <v>20</v>
      </c>
      <c r="E15" s="4">
        <v>25</v>
      </c>
      <c r="F15" s="4">
        <v>40</v>
      </c>
    </row>
    <row r="16" spans="1:9" ht="21" customHeight="1" x14ac:dyDescent="0.2">
      <c r="A16" s="2" t="s">
        <v>16</v>
      </c>
      <c r="B16" s="4">
        <v>1000</v>
      </c>
      <c r="C16" s="4">
        <v>3000</v>
      </c>
      <c r="D16" s="4">
        <v>3000</v>
      </c>
      <c r="E16" s="4">
        <v>1000</v>
      </c>
      <c r="F16" s="4">
        <v>4000</v>
      </c>
    </row>
    <row r="17" spans="1:13" ht="21" customHeight="1" x14ac:dyDescent="0.2">
      <c r="A17" s="2" t="s">
        <v>17</v>
      </c>
      <c r="B17" s="2">
        <f>SUM(B16:F16)</f>
        <v>12000</v>
      </c>
    </row>
    <row r="18" spans="1:13" ht="21" customHeight="1" x14ac:dyDescent="0.2"/>
    <row r="19" spans="1:13" ht="21" customHeight="1" x14ac:dyDescent="0.2"/>
    <row r="20" spans="1:13" ht="25" customHeight="1" x14ac:dyDescent="0.2">
      <c r="A20" s="9" t="s">
        <v>18</v>
      </c>
      <c r="B20" s="8"/>
      <c r="C20" s="8"/>
      <c r="D20" s="8"/>
      <c r="E20" s="8"/>
      <c r="F20" s="8"/>
      <c r="G20" s="8"/>
      <c r="H20" s="8"/>
      <c r="I20" s="8"/>
      <c r="M20" s="10">
        <f>MIN($B$27)</f>
        <v>4500000</v>
      </c>
    </row>
    <row r="21" spans="1:13" ht="32" customHeight="1" x14ac:dyDescent="0.2">
      <c r="A21" s="1" t="s">
        <v>1</v>
      </c>
      <c r="B21" s="1" t="s">
        <v>19</v>
      </c>
      <c r="C21" s="1" t="s">
        <v>20</v>
      </c>
      <c r="D21" s="1" t="s">
        <v>21</v>
      </c>
      <c r="M21">
        <f>COUNT($B$22:$B$25)</f>
        <v>4</v>
      </c>
    </row>
    <row r="22" spans="1:13" ht="21" customHeight="1" x14ac:dyDescent="0.2">
      <c r="A22" s="2" t="s">
        <v>6</v>
      </c>
      <c r="B22" s="4">
        <v>1</v>
      </c>
      <c r="C22" s="2">
        <f>B22*E5</f>
        <v>5000</v>
      </c>
      <c r="D22" s="3">
        <f>B22*B5</f>
        <v>2100000</v>
      </c>
      <c r="M22" t="b">
        <f t="array" ref="M22">($B$22:$B$25=0)+($B$22:$B$25=1)=1</f>
        <v>1</v>
      </c>
    </row>
    <row r="23" spans="1:13" ht="21" customHeight="1" x14ac:dyDescent="0.2">
      <c r="A23" s="2" t="s">
        <v>7</v>
      </c>
      <c r="B23" s="4">
        <v>0</v>
      </c>
      <c r="C23" s="2">
        <f>B23*E6</f>
        <v>0</v>
      </c>
      <c r="D23" s="3">
        <f>B23*B6</f>
        <v>0</v>
      </c>
      <c r="M23" t="b">
        <f>$B$29&gt;=0</f>
        <v>1</v>
      </c>
    </row>
    <row r="24" spans="1:13" ht="21" customHeight="1" x14ac:dyDescent="0.2">
      <c r="A24" s="2" t="s">
        <v>8</v>
      </c>
      <c r="B24" s="4">
        <v>1</v>
      </c>
      <c r="C24" s="2">
        <f>B24*E7</f>
        <v>8000</v>
      </c>
      <c r="D24" s="3">
        <f>B24*B7</f>
        <v>2400000</v>
      </c>
      <c r="M24">
        <f>{32767,32767,0.000001,0,TRUE,FALSE,TRUE,1,2,1,0.0001,TRUE}</f>
        <v>32767</v>
      </c>
    </row>
    <row r="25" spans="1:13" ht="21" customHeight="1" x14ac:dyDescent="0.2">
      <c r="A25" s="2" t="s">
        <v>9</v>
      </c>
      <c r="B25" s="4">
        <v>0</v>
      </c>
      <c r="C25" s="2">
        <f>B25*E8</f>
        <v>0</v>
      </c>
      <c r="D25" s="3">
        <f>B25*B8</f>
        <v>0</v>
      </c>
      <c r="M25">
        <f>{0,0,1,100,0,FALSE,FALSE,0.075,0,0,FALSE,30}</f>
        <v>0</v>
      </c>
    </row>
    <row r="26" spans="1:13" ht="21" customHeight="1" x14ac:dyDescent="0.2"/>
    <row r="27" spans="1:13" ht="21" customHeight="1" x14ac:dyDescent="0.2">
      <c r="A27" s="5" t="s">
        <v>22</v>
      </c>
      <c r="B27" s="6">
        <f>SUM(D22:D25)</f>
        <v>4500000</v>
      </c>
    </row>
    <row r="28" spans="1:13" ht="21" customHeight="1" x14ac:dyDescent="0.2">
      <c r="A28" s="2" t="s">
        <v>23</v>
      </c>
      <c r="B28" s="2">
        <f>SUM(C22:C25)</f>
        <v>13000</v>
      </c>
      <c r="C28" s="2" t="s">
        <v>24</v>
      </c>
      <c r="D28" s="2">
        <f>B17</f>
        <v>12000</v>
      </c>
    </row>
    <row r="29" spans="1:13" ht="21" customHeight="1" x14ac:dyDescent="0.2">
      <c r="A29" s="2" t="s">
        <v>25</v>
      </c>
      <c r="B29" s="2">
        <f>B28-D28</f>
        <v>1000</v>
      </c>
    </row>
    <row r="30" spans="1:13" ht="21" customHeight="1" x14ac:dyDescent="0.2"/>
    <row r="31" spans="1:13" ht="29" customHeight="1" x14ac:dyDescent="0.2">
      <c r="A31" s="7" t="s">
        <v>83</v>
      </c>
      <c r="B31" s="8"/>
      <c r="C31" s="8"/>
      <c r="D31" s="8"/>
      <c r="E31" s="8"/>
      <c r="F31" s="8"/>
      <c r="G31" s="8"/>
      <c r="H31" s="8"/>
      <c r="I31" s="8"/>
    </row>
    <row r="32" spans="1:13" ht="29" customHeight="1" x14ac:dyDescent="0.2">
      <c r="A32" s="7" t="s">
        <v>82</v>
      </c>
      <c r="B32" s="8"/>
      <c r="C32" s="8"/>
      <c r="D32" s="8"/>
      <c r="E32" s="8"/>
      <c r="F32" s="8"/>
      <c r="G32" s="8"/>
      <c r="H32" s="8"/>
      <c r="I32" s="8"/>
    </row>
    <row r="33" spans="1:13" ht="29" customHeight="1" x14ac:dyDescent="0.2">
      <c r="A33" s="7" t="s">
        <v>26</v>
      </c>
      <c r="B33" s="8"/>
      <c r="C33" s="8"/>
      <c r="D33" s="8"/>
      <c r="E33" s="8"/>
      <c r="F33" s="8"/>
      <c r="G33" s="8"/>
      <c r="H33" s="8"/>
      <c r="I33" s="8"/>
    </row>
    <row r="34" spans="1:13" ht="21" customHeight="1" x14ac:dyDescent="0.2"/>
    <row r="35" spans="1:13" ht="21" customHeight="1" x14ac:dyDescent="0.2"/>
    <row r="36" spans="1:13" ht="25" customHeight="1" x14ac:dyDescent="0.2">
      <c r="A36" s="9" t="s">
        <v>27</v>
      </c>
      <c r="B36" s="8"/>
      <c r="C36" s="8"/>
      <c r="D36" s="8"/>
      <c r="E36" s="8"/>
      <c r="F36" s="8"/>
      <c r="G36" s="8"/>
      <c r="H36" s="8"/>
      <c r="I36" s="8"/>
    </row>
    <row r="37" spans="1:13" ht="32" customHeight="1" x14ac:dyDescent="0.2">
      <c r="A37" s="1" t="s">
        <v>1</v>
      </c>
      <c r="B37" s="1" t="s">
        <v>19</v>
      </c>
      <c r="C37" s="1" t="s">
        <v>28</v>
      </c>
      <c r="D37" s="1" t="s">
        <v>29</v>
      </c>
      <c r="E37" s="1" t="s">
        <v>30</v>
      </c>
      <c r="F37" s="1" t="s">
        <v>21</v>
      </c>
      <c r="G37" s="1" t="s">
        <v>31</v>
      </c>
      <c r="H37" t="s">
        <v>75</v>
      </c>
      <c r="I37" t="s">
        <v>25</v>
      </c>
    </row>
    <row r="38" spans="1:13" ht="21" customHeight="1" x14ac:dyDescent="0.2">
      <c r="A38" s="2" t="s">
        <v>6</v>
      </c>
      <c r="B38" s="12">
        <v>0</v>
      </c>
      <c r="C38" s="12">
        <v>0</v>
      </c>
      <c r="D38" s="2">
        <f>B38*D5</f>
        <v>0</v>
      </c>
      <c r="E38" s="2">
        <f>B38*E5</f>
        <v>0</v>
      </c>
      <c r="F38" s="3">
        <f t="shared" ref="F38:G41" si="0">B38*B5</f>
        <v>0</v>
      </c>
      <c r="G38" s="3">
        <f t="shared" si="0"/>
        <v>0</v>
      </c>
      <c r="H38" s="11">
        <f>C38-D38</f>
        <v>0</v>
      </c>
      <c r="I38" s="11">
        <f>E38-C38</f>
        <v>0</v>
      </c>
    </row>
    <row r="39" spans="1:13" ht="21" customHeight="1" x14ac:dyDescent="0.2">
      <c r="A39" s="2" t="s">
        <v>7</v>
      </c>
      <c r="B39" s="12">
        <v>0</v>
      </c>
      <c r="C39" s="12">
        <v>0</v>
      </c>
      <c r="D39" s="2">
        <f>B39*D6</f>
        <v>0</v>
      </c>
      <c r="E39" s="2">
        <f>B39*E6</f>
        <v>0</v>
      </c>
      <c r="F39" s="3">
        <f t="shared" si="0"/>
        <v>0</v>
      </c>
      <c r="G39" s="3">
        <f t="shared" si="0"/>
        <v>0</v>
      </c>
      <c r="H39" s="11">
        <f>C39-D39</f>
        <v>0</v>
      </c>
      <c r="I39" s="11">
        <f>E39-C39</f>
        <v>0</v>
      </c>
    </row>
    <row r="40" spans="1:13" ht="21" customHeight="1" x14ac:dyDescent="0.2">
      <c r="A40" s="2" t="s">
        <v>8</v>
      </c>
      <c r="B40" s="12">
        <v>1</v>
      </c>
      <c r="C40" s="12">
        <v>8000</v>
      </c>
      <c r="D40" s="2">
        <f>B40*D7</f>
        <v>4000</v>
      </c>
      <c r="E40" s="2">
        <f>B40*E7</f>
        <v>8000</v>
      </c>
      <c r="F40" s="3">
        <f t="shared" si="0"/>
        <v>2400000</v>
      </c>
      <c r="G40" s="3">
        <f t="shared" si="0"/>
        <v>1240000</v>
      </c>
      <c r="H40" s="11">
        <f>C40-D40</f>
        <v>4000</v>
      </c>
      <c r="I40" s="11">
        <f>E40-C40</f>
        <v>0</v>
      </c>
    </row>
    <row r="41" spans="1:13" ht="21" customHeight="1" x14ac:dyDescent="0.2">
      <c r="A41" s="2" t="s">
        <v>9</v>
      </c>
      <c r="B41" s="12">
        <v>1</v>
      </c>
      <c r="C41" s="12">
        <v>4000</v>
      </c>
      <c r="D41" s="2">
        <f>B41*D8</f>
        <v>2500</v>
      </c>
      <c r="E41" s="2">
        <f>B41*E8</f>
        <v>6000</v>
      </c>
      <c r="F41" s="3">
        <f t="shared" si="0"/>
        <v>2700000</v>
      </c>
      <c r="G41" s="3">
        <f t="shared" si="0"/>
        <v>680000</v>
      </c>
      <c r="H41" s="11">
        <f>C41-D41</f>
        <v>1500</v>
      </c>
      <c r="I41" s="11">
        <f>E41-C41</f>
        <v>2000</v>
      </c>
    </row>
    <row r="42" spans="1:13" ht="21" customHeight="1" x14ac:dyDescent="0.2"/>
    <row r="43" spans="1:13" ht="21" customHeight="1" x14ac:dyDescent="0.2">
      <c r="A43" s="5" t="s">
        <v>32</v>
      </c>
      <c r="B43" s="6">
        <f>SUM(F38:G41)</f>
        <v>7020000</v>
      </c>
    </row>
    <row r="44" spans="1:13" ht="21" customHeight="1" x14ac:dyDescent="0.2">
      <c r="A44" s="5" t="s">
        <v>22</v>
      </c>
      <c r="B44" s="6">
        <f>SUM(F38:F41)</f>
        <v>5100000</v>
      </c>
    </row>
    <row r="45" spans="1:13" ht="21" customHeight="1" x14ac:dyDescent="0.2">
      <c r="A45" s="5" t="s">
        <v>33</v>
      </c>
      <c r="B45" s="6">
        <f>SUM(G38:G41)</f>
        <v>1920000</v>
      </c>
    </row>
    <row r="46" spans="1:13" ht="21" customHeight="1" x14ac:dyDescent="0.2">
      <c r="A46" s="2" t="s">
        <v>34</v>
      </c>
      <c r="B46" s="2">
        <f>SUM(C38:C41)</f>
        <v>12000</v>
      </c>
      <c r="C46" s="2" t="s">
        <v>24</v>
      </c>
      <c r="D46" s="2">
        <f>B17</f>
        <v>12000</v>
      </c>
    </row>
    <row r="47" spans="1:13" ht="21" customHeight="1" x14ac:dyDescent="0.2">
      <c r="A47" t="s">
        <v>76</v>
      </c>
      <c r="B47">
        <f>B46-D46</f>
        <v>0</v>
      </c>
    </row>
    <row r="48" spans="1:13" ht="29" customHeight="1" x14ac:dyDescent="0.2">
      <c r="A48" s="7" t="s">
        <v>77</v>
      </c>
      <c r="B48" s="8"/>
      <c r="C48" s="8"/>
      <c r="D48" s="8"/>
      <c r="E48" s="8"/>
      <c r="F48" s="8"/>
      <c r="G48" s="8"/>
      <c r="H48" s="8"/>
      <c r="I48" s="8"/>
      <c r="M48" s="10">
        <f>MIN($B$43)</f>
        <v>7020000</v>
      </c>
    </row>
    <row r="49" spans="1:13" ht="29" customHeight="1" x14ac:dyDescent="0.2">
      <c r="A49" s="7" t="s">
        <v>78</v>
      </c>
      <c r="B49" s="8"/>
      <c r="C49" s="8"/>
      <c r="D49" s="8"/>
      <c r="E49" s="8"/>
      <c r="F49" s="8"/>
      <c r="G49" s="8"/>
      <c r="H49" s="8"/>
      <c r="I49" s="8"/>
      <c r="M49">
        <f>COUNT($B$38:$C$41)</f>
        <v>8</v>
      </c>
    </row>
    <row r="50" spans="1:13" ht="29" customHeight="1" x14ac:dyDescent="0.2">
      <c r="A50" s="7" t="s">
        <v>79</v>
      </c>
      <c r="B50" s="8"/>
      <c r="C50" s="8"/>
      <c r="D50" s="8"/>
      <c r="E50" s="8"/>
      <c r="F50" s="8"/>
      <c r="G50" s="8"/>
      <c r="H50" s="8"/>
      <c r="I50" s="8"/>
      <c r="M50" t="b">
        <f t="array" ref="M50">($B$38:$B$41=0)+($B$38:$B$41=1)=1</f>
        <v>1</v>
      </c>
    </row>
    <row r="51" spans="1:13" ht="29" customHeight="1" x14ac:dyDescent="0.2">
      <c r="A51" s="7" t="s">
        <v>35</v>
      </c>
      <c r="B51" s="8"/>
      <c r="C51" s="8"/>
      <c r="D51" s="8"/>
      <c r="E51" s="8"/>
      <c r="F51" s="8"/>
      <c r="G51" s="8"/>
      <c r="H51" s="8"/>
      <c r="I51" s="8"/>
      <c r="M51" t="b">
        <f>$B$47&gt;=0</f>
        <v>1</v>
      </c>
    </row>
    <row r="52" spans="1:13" ht="21" customHeight="1" x14ac:dyDescent="0.2">
      <c r="M52" t="b">
        <f t="array" ref="M52">$C$38:$C$41=INT($C$38:$C$41)</f>
        <v>1</v>
      </c>
    </row>
    <row r="53" spans="1:13" ht="21" customHeight="1" x14ac:dyDescent="0.2">
      <c r="M53" t="b">
        <f t="array" ref="M53">$H$38:$I$41&gt;=0</f>
        <v>1</v>
      </c>
    </row>
    <row r="54" spans="1:13" ht="21" customHeight="1" x14ac:dyDescent="0.2">
      <c r="M54">
        <f>{32767,32767,0.000001,0,TRUE,FALSE,TRUE,1,2,1,0.0001,TRUE}</f>
        <v>32767</v>
      </c>
    </row>
    <row r="55" spans="1:13" ht="25" customHeight="1" x14ac:dyDescent="0.2">
      <c r="A55" s="9" t="s">
        <v>36</v>
      </c>
      <c r="B55" s="8"/>
      <c r="C55" s="8"/>
      <c r="D55" s="8"/>
      <c r="E55" s="8"/>
      <c r="F55" s="8"/>
      <c r="G55" s="8"/>
      <c r="H55" s="8"/>
      <c r="I55" s="8"/>
      <c r="M55">
        <f>{0,0,1,100,0,FALSE,FALSE,0.075,0,0,FALSE,30}</f>
        <v>0</v>
      </c>
    </row>
    <row r="56" spans="1:13" ht="32" customHeight="1" x14ac:dyDescent="0.2">
      <c r="A56" s="1" t="s">
        <v>1</v>
      </c>
      <c r="B56" s="1" t="s">
        <v>19</v>
      </c>
      <c r="C56" s="1" t="s">
        <v>11</v>
      </c>
      <c r="D56" s="1" t="s">
        <v>12</v>
      </c>
      <c r="E56" s="1" t="s">
        <v>13</v>
      </c>
      <c r="F56" s="1" t="s">
        <v>14</v>
      </c>
      <c r="G56" s="1" t="s">
        <v>15</v>
      </c>
      <c r="H56" s="1" t="s">
        <v>37</v>
      </c>
      <c r="I56" s="1" t="s">
        <v>29</v>
      </c>
      <c r="J56" s="1" t="s">
        <v>30</v>
      </c>
      <c r="K56" t="s">
        <v>75</v>
      </c>
      <c r="L56" t="s">
        <v>25</v>
      </c>
      <c r="M56">
        <f>{0,0,1,100,0,FALSE,FALSE,0.075,0,0,FALSE,30}</f>
        <v>0</v>
      </c>
    </row>
    <row r="57" spans="1:13" ht="21" customHeight="1" x14ac:dyDescent="0.2">
      <c r="A57" s="2" t="s">
        <v>6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f>SUM(C57:G57)</f>
        <v>0</v>
      </c>
      <c r="I57" s="4">
        <f>B57*D5</f>
        <v>0</v>
      </c>
      <c r="J57" s="4">
        <f>B57*E5</f>
        <v>0</v>
      </c>
      <c r="K57" s="11">
        <f>H57-I57</f>
        <v>0</v>
      </c>
      <c r="L57" s="11">
        <f>J57-H57</f>
        <v>0</v>
      </c>
    </row>
    <row r="58" spans="1:13" ht="21" customHeight="1" x14ac:dyDescent="0.2">
      <c r="A58" s="2" t="s">
        <v>7</v>
      </c>
      <c r="B58" s="4">
        <v>1</v>
      </c>
      <c r="C58" s="4">
        <v>1000</v>
      </c>
      <c r="D58" s="4">
        <v>3000</v>
      </c>
      <c r="E58" s="4">
        <v>2000</v>
      </c>
      <c r="F58" s="4">
        <v>1000</v>
      </c>
      <c r="G58" s="4">
        <v>0</v>
      </c>
      <c r="H58" s="4">
        <f>SUM(C58:G58)</f>
        <v>7000</v>
      </c>
      <c r="I58" s="4">
        <f>B58*D6</f>
        <v>3000</v>
      </c>
      <c r="J58" s="4">
        <f>B58*E6</f>
        <v>7000</v>
      </c>
      <c r="K58" s="11">
        <f>H58-I58</f>
        <v>4000</v>
      </c>
      <c r="L58" s="11">
        <f>J58-H58</f>
        <v>0</v>
      </c>
    </row>
    <row r="59" spans="1:13" ht="21" customHeight="1" x14ac:dyDescent="0.2">
      <c r="A59" s="2" t="s">
        <v>8</v>
      </c>
      <c r="B59" s="4">
        <v>1</v>
      </c>
      <c r="C59" s="4">
        <v>0</v>
      </c>
      <c r="D59" s="4">
        <v>0</v>
      </c>
      <c r="E59" s="4">
        <v>1000</v>
      </c>
      <c r="F59" s="4">
        <v>0</v>
      </c>
      <c r="G59" s="4">
        <v>4000</v>
      </c>
      <c r="H59" s="4">
        <f>SUM(C59:G59)</f>
        <v>5000</v>
      </c>
      <c r="I59" s="4">
        <f>B59*D7</f>
        <v>4000</v>
      </c>
      <c r="J59" s="4">
        <f>B59*E7</f>
        <v>8000</v>
      </c>
      <c r="K59" s="11">
        <f>H59-I59</f>
        <v>1000</v>
      </c>
      <c r="L59" s="11">
        <f>J59-H59</f>
        <v>3000</v>
      </c>
    </row>
    <row r="60" spans="1:13" ht="21" customHeight="1" x14ac:dyDescent="0.2">
      <c r="A60" s="2" t="s">
        <v>9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f>SUM(C60:G60)</f>
        <v>0</v>
      </c>
      <c r="I60" s="4">
        <f>B60*D8</f>
        <v>0</v>
      </c>
      <c r="J60" s="4">
        <f>B60*E8</f>
        <v>0</v>
      </c>
      <c r="K60" s="11">
        <f>H60-I60</f>
        <v>0</v>
      </c>
      <c r="L60" s="11">
        <f>J60-H60</f>
        <v>0</v>
      </c>
    </row>
    <row r="61" spans="1:13" ht="21" customHeight="1" x14ac:dyDescent="0.2"/>
    <row r="62" spans="1:13" ht="21" customHeight="1" x14ac:dyDescent="0.2">
      <c r="A62" s="2" t="s">
        <v>38</v>
      </c>
      <c r="C62" s="2">
        <f>SUM(C57:C60)</f>
        <v>1000</v>
      </c>
      <c r="D62" s="2">
        <f>SUM(D57:D60)</f>
        <v>3000</v>
      </c>
      <c r="E62" s="2">
        <f>SUM(E57:E60)</f>
        <v>3000</v>
      </c>
      <c r="F62" s="2">
        <f>SUM(F57:F60)</f>
        <v>1000</v>
      </c>
      <c r="G62" s="2">
        <f>SUM(G57:G60)</f>
        <v>4000</v>
      </c>
    </row>
    <row r="63" spans="1:13" ht="21" customHeight="1" x14ac:dyDescent="0.2">
      <c r="A63" s="2" t="s">
        <v>16</v>
      </c>
      <c r="C63" s="2">
        <f>B16</f>
        <v>1000</v>
      </c>
      <c r="D63" s="2">
        <f>C16</f>
        <v>3000</v>
      </c>
      <c r="E63" s="2">
        <f>D16</f>
        <v>3000</v>
      </c>
      <c r="F63" s="2">
        <f>E16</f>
        <v>1000</v>
      </c>
      <c r="G63" s="2">
        <f>F16</f>
        <v>4000</v>
      </c>
    </row>
    <row r="64" spans="1:13" ht="21" customHeight="1" x14ac:dyDescent="0.2">
      <c r="A64" s="2" t="s">
        <v>39</v>
      </c>
      <c r="C64" s="2">
        <f>C62-C63</f>
        <v>0</v>
      </c>
      <c r="D64" s="2">
        <f>D62-D63</f>
        <v>0</v>
      </c>
      <c r="E64" s="2">
        <f>E62-E63</f>
        <v>0</v>
      </c>
      <c r="F64" s="2">
        <f>F62-F63</f>
        <v>0</v>
      </c>
      <c r="G64" s="2">
        <f>G62-G63</f>
        <v>0</v>
      </c>
    </row>
    <row r="65" spans="1:10" ht="21" customHeight="1" x14ac:dyDescent="0.2"/>
    <row r="66" spans="1:10" ht="21" customHeight="1" x14ac:dyDescent="0.2">
      <c r="A66" s="5" t="s">
        <v>32</v>
      </c>
      <c r="B66" s="6">
        <f>SUM(B67:B69)</f>
        <v>7339000</v>
      </c>
    </row>
    <row r="67" spans="1:10" ht="21" customHeight="1" x14ac:dyDescent="0.2">
      <c r="A67" s="5" t="s">
        <v>22</v>
      </c>
      <c r="B67" s="6">
        <f>SUMPRODUCT(B57:B60,B5:B8)</f>
        <v>5200000</v>
      </c>
    </row>
    <row r="68" spans="1:10" ht="21" customHeight="1" x14ac:dyDescent="0.2">
      <c r="A68" s="5" t="s">
        <v>33</v>
      </c>
      <c r="B68" s="6">
        <f>SUMPRODUCT(H57:H60,C5:C8)</f>
        <v>1930000</v>
      </c>
    </row>
    <row r="69" spans="1:10" ht="21" customHeight="1" x14ac:dyDescent="0.2">
      <c r="A69" s="5" t="s">
        <v>40</v>
      </c>
      <c r="B69" s="6">
        <f>SUMPRODUCT(C57:G60,B12:F15)</f>
        <v>209000</v>
      </c>
    </row>
    <row r="70" spans="1:10" ht="21" customHeight="1" x14ac:dyDescent="0.2"/>
    <row r="71" spans="1:10" ht="29" customHeight="1" x14ac:dyDescent="0.2">
      <c r="A71" s="7" t="s">
        <v>41</v>
      </c>
      <c r="B71" s="8"/>
      <c r="C71" s="8"/>
      <c r="D71" s="8"/>
      <c r="E71" s="8"/>
      <c r="F71" s="8"/>
      <c r="G71" s="8"/>
      <c r="H71" s="8"/>
      <c r="I71" s="8"/>
      <c r="J71" s="8"/>
    </row>
    <row r="72" spans="1:10" ht="29" customHeight="1" x14ac:dyDescent="0.2">
      <c r="A72" s="7" t="s">
        <v>80</v>
      </c>
      <c r="B72" s="8"/>
      <c r="C72" s="8"/>
      <c r="D72" s="8"/>
      <c r="E72" s="8"/>
      <c r="F72" s="8"/>
      <c r="G72" s="8"/>
      <c r="H72" s="8"/>
      <c r="I72" s="8"/>
      <c r="J72" s="8"/>
    </row>
    <row r="73" spans="1:10" ht="29" customHeight="1" x14ac:dyDescent="0.2">
      <c r="A73" s="7" t="s">
        <v>81</v>
      </c>
      <c r="B73" s="8"/>
      <c r="C73" s="8"/>
      <c r="D73" s="8"/>
      <c r="E73" s="8"/>
      <c r="F73" s="8"/>
      <c r="G73" s="8"/>
      <c r="H73" s="8"/>
      <c r="I73" s="8"/>
      <c r="J73" s="8"/>
    </row>
    <row r="74" spans="1:10" ht="29" customHeight="1" x14ac:dyDescent="0.2">
      <c r="A74" s="7" t="s">
        <v>42</v>
      </c>
      <c r="B74" s="8"/>
      <c r="C74" s="8"/>
      <c r="D74" s="8"/>
      <c r="E74" s="8"/>
      <c r="F74" s="8"/>
      <c r="G74" s="8"/>
      <c r="H74" s="8"/>
      <c r="I74" s="8"/>
      <c r="J74" s="8"/>
    </row>
    <row r="75" spans="1:10" ht="29" customHeight="1" x14ac:dyDescent="0.2">
      <c r="A75" s="7" t="s">
        <v>43</v>
      </c>
      <c r="B75" s="8"/>
      <c r="C75" s="8"/>
      <c r="D75" s="8"/>
      <c r="E75" s="8"/>
      <c r="F75" s="8"/>
      <c r="G75" s="8"/>
      <c r="H75" s="8"/>
      <c r="I75" s="8"/>
      <c r="J75" s="8"/>
    </row>
    <row r="76" spans="1:10" ht="21" customHeight="1" x14ac:dyDescent="0.2"/>
    <row r="77" spans="1:10" ht="21" customHeight="1" x14ac:dyDescent="0.2"/>
    <row r="78" spans="1:10" ht="29" customHeight="1" x14ac:dyDescent="0.2">
      <c r="A78" s="7"/>
      <c r="B78" s="8"/>
      <c r="C78" s="8"/>
      <c r="D78" s="8"/>
      <c r="E78" s="8"/>
      <c r="F78" s="8"/>
      <c r="G78" s="8"/>
      <c r="H78" s="8"/>
      <c r="I78" s="8"/>
      <c r="J78" s="8"/>
    </row>
    <row r="79" spans="1:10" ht="21" customHeight="1" x14ac:dyDescent="0.2"/>
    <row r="80" spans="1:10" ht="21" customHeight="1" x14ac:dyDescent="0.2"/>
    <row r="81" spans="13:13" ht="21" customHeight="1" x14ac:dyDescent="0.2"/>
    <row r="82" spans="13:13" ht="21" customHeight="1" x14ac:dyDescent="0.2">
      <c r="M82" s="10">
        <f>MIN($B$66)</f>
        <v>7339000</v>
      </c>
    </row>
    <row r="83" spans="13:13" ht="21" customHeight="1" x14ac:dyDescent="0.2">
      <c r="M83">
        <f>COUNT($B$57:$G$60)</f>
        <v>24</v>
      </c>
    </row>
    <row r="84" spans="13:13" ht="21" customHeight="1" x14ac:dyDescent="0.2">
      <c r="M84" t="b">
        <f t="array" ref="M84">($B$57:$B$60=0)+($B$57:$B$60=1)=1</f>
        <v>1</v>
      </c>
    </row>
    <row r="85" spans="13:13" ht="21" customHeight="1" x14ac:dyDescent="0.2">
      <c r="M85" t="b">
        <f t="array" ref="M85">$C$57:$G$60=INT($C$57:$G$60)</f>
        <v>1</v>
      </c>
    </row>
    <row r="86" spans="13:13" ht="21" customHeight="1" x14ac:dyDescent="0.2">
      <c r="M86" t="b">
        <f t="array" ref="M86">$C$64:$G$64=0</f>
        <v>1</v>
      </c>
    </row>
    <row r="87" spans="13:13" ht="21" customHeight="1" x14ac:dyDescent="0.2">
      <c r="M87" t="b">
        <f t="array" ref="M87">$K$57:$L$60&gt;=0</f>
        <v>1</v>
      </c>
    </row>
    <row r="88" spans="13:13" ht="21" customHeight="1" x14ac:dyDescent="0.2">
      <c r="M88">
        <f>{32767,32767,0.000001,0,TRUE,FALSE,TRUE,1,2,1,0.0001,TRUE}</f>
        <v>32767</v>
      </c>
    </row>
    <row r="89" spans="13:13" ht="21" customHeight="1" x14ac:dyDescent="0.2">
      <c r="M89">
        <f>{0,0,1,100,0,FALSE,FALSE,0.075,0,0,FALSE,30}</f>
        <v>0</v>
      </c>
    </row>
    <row r="90" spans="13:13" ht="21" customHeight="1" x14ac:dyDescent="0.2">
      <c r="M90">
        <f>{0,0,1,100,0,FALSE,FALSE,0.075,0,0,FALSE,30}</f>
        <v>0</v>
      </c>
    </row>
    <row r="91" spans="13:13" ht="21" customHeight="1" x14ac:dyDescent="0.2"/>
    <row r="92" spans="13:13" ht="21" customHeight="1" x14ac:dyDescent="0.2"/>
    <row r="93" spans="13:13" ht="21" customHeight="1" x14ac:dyDescent="0.2"/>
  </sheetData>
  <mergeCells count="18">
    <mergeCell ref="A78:J78"/>
    <mergeCell ref="A1:I1"/>
    <mergeCell ref="A31:I31"/>
    <mergeCell ref="A73:J73"/>
    <mergeCell ref="A55:I55"/>
    <mergeCell ref="A50:I50"/>
    <mergeCell ref="A48:I48"/>
    <mergeCell ref="A20:I20"/>
    <mergeCell ref="A71:J71"/>
    <mergeCell ref="A72:J72"/>
    <mergeCell ref="A75:J75"/>
    <mergeCell ref="A2:I2"/>
    <mergeCell ref="A33:I33"/>
    <mergeCell ref="A49:I49"/>
    <mergeCell ref="A51:I51"/>
    <mergeCell ref="A74:J74"/>
    <mergeCell ref="A32:I32"/>
    <mergeCell ref="A36:I36"/>
  </mergeCells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Right="0"/>
    <pageSetUpPr fitToPage="1"/>
  </sheetPr>
  <dimension ref="A1:N77"/>
  <sheetViews>
    <sheetView showGridLines="0" zoomScale="85" zoomScaleNormal="85" workbookViewId="0">
      <selection activeCell="A2" sqref="A2:L2"/>
    </sheetView>
  </sheetViews>
  <sheetFormatPr baseColWidth="10" defaultColWidth="8.83203125" defaultRowHeight="15" x14ac:dyDescent="0.2"/>
  <cols>
    <col min="1" max="1" width="15" customWidth="1"/>
    <col min="2" max="13" width="14" customWidth="1"/>
    <col min="14" max="14" width="13" hidden="1" customWidth="1"/>
  </cols>
  <sheetData>
    <row r="1" spans="1:14" ht="25" customHeight="1" x14ac:dyDescent="0.2">
      <c r="A1" s="9" t="s">
        <v>44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4" ht="29" customHeight="1" x14ac:dyDescent="0.2">
      <c r="A2" s="7" t="s">
        <v>85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4" ht="21" customHeight="1" x14ac:dyDescent="0.2"/>
    <row r="4" spans="1:14" ht="25" customHeight="1" x14ac:dyDescent="0.2">
      <c r="A4" s="9" t="s">
        <v>45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4" ht="32" customHeight="1" x14ac:dyDescent="0.2">
      <c r="A5" s="1" t="s">
        <v>46</v>
      </c>
      <c r="B5" s="1" t="s">
        <v>47</v>
      </c>
      <c r="C5" s="1" t="s">
        <v>48</v>
      </c>
      <c r="D5" s="1" t="s">
        <v>49</v>
      </c>
      <c r="E5" s="1" t="s">
        <v>50</v>
      </c>
      <c r="F5" s="1" t="s">
        <v>51</v>
      </c>
      <c r="G5" s="1" t="s">
        <v>52</v>
      </c>
      <c r="N5">
        <f>MAX($B$43)</f>
        <v>1038</v>
      </c>
    </row>
    <row r="6" spans="1:14" ht="21" customHeight="1" x14ac:dyDescent="0.2">
      <c r="A6" s="4">
        <v>1</v>
      </c>
      <c r="B6" s="4">
        <v>185</v>
      </c>
      <c r="C6" s="4">
        <v>170</v>
      </c>
      <c r="D6" s="4">
        <v>183</v>
      </c>
      <c r="E6" s="4">
        <v>168</v>
      </c>
      <c r="F6" s="4">
        <v>178</v>
      </c>
      <c r="G6" s="4">
        <v>175</v>
      </c>
      <c r="N6">
        <f>COUNT($B$24:$G$37)</f>
        <v>84</v>
      </c>
    </row>
    <row r="7" spans="1:14" ht="21" customHeight="1" x14ac:dyDescent="0.2">
      <c r="A7" s="4">
        <v>2</v>
      </c>
      <c r="B7" s="4">
        <v>130</v>
      </c>
      <c r="C7" s="4">
        <v>125</v>
      </c>
      <c r="D7" s="4">
        <v>125</v>
      </c>
      <c r="E7" s="4">
        <v>120</v>
      </c>
      <c r="F7" s="4">
        <v>125</v>
      </c>
      <c r="G7" s="4">
        <v>125</v>
      </c>
      <c r="N7" t="b">
        <f t="array" ref="N7">($B$24:$G$37=0)+($B$24:$G$37=1)=1</f>
        <v>1</v>
      </c>
    </row>
    <row r="8" spans="1:14" ht="21" customHeight="1" x14ac:dyDescent="0.2">
      <c r="A8" s="4">
        <v>3</v>
      </c>
      <c r="B8" s="4">
        <v>110</v>
      </c>
      <c r="C8" s="4">
        <v>120</v>
      </c>
      <c r="D8" s="4">
        <v>115</v>
      </c>
      <c r="E8" s="4">
        <v>125</v>
      </c>
      <c r="F8" s="4">
        <v>115</v>
      </c>
      <c r="G8" s="4">
        <v>120</v>
      </c>
      <c r="N8" t="b">
        <f t="array" ref="N8">$B$39:$G$39=1</f>
        <v>1</v>
      </c>
    </row>
    <row r="9" spans="1:14" ht="21" customHeight="1" x14ac:dyDescent="0.2">
      <c r="A9" s="4">
        <v>4</v>
      </c>
      <c r="B9" s="4">
        <v>138</v>
      </c>
      <c r="C9" s="4">
        <v>140</v>
      </c>
      <c r="D9" s="4">
        <v>138</v>
      </c>
      <c r="E9" s="4">
        <v>140</v>
      </c>
      <c r="F9" s="4">
        <v>140</v>
      </c>
      <c r="G9" s="4">
        <v>140</v>
      </c>
      <c r="N9" t="b">
        <f t="array" ref="N9">$H$24:$H$37&lt;=2</f>
        <v>1</v>
      </c>
    </row>
    <row r="10" spans="1:14" ht="21" customHeight="1" x14ac:dyDescent="0.2">
      <c r="A10" s="4">
        <v>5</v>
      </c>
      <c r="B10" s="4">
        <v>175</v>
      </c>
      <c r="C10" s="4">
        <v>170</v>
      </c>
      <c r="D10" s="4">
        <v>182</v>
      </c>
      <c r="E10" s="4">
        <v>177</v>
      </c>
      <c r="F10" s="4">
        <v>177</v>
      </c>
      <c r="G10" s="4">
        <v>175</v>
      </c>
      <c r="N10" t="b">
        <f>$H$37=2</f>
        <v>1</v>
      </c>
    </row>
    <row r="11" spans="1:14" ht="21" customHeight="1" x14ac:dyDescent="0.2">
      <c r="A11" s="4">
        <v>6</v>
      </c>
      <c r="B11" s="4">
        <v>120</v>
      </c>
      <c r="C11" s="4">
        <v>125</v>
      </c>
      <c r="D11" s="4">
        <v>125</v>
      </c>
      <c r="E11" s="4">
        <v>130</v>
      </c>
      <c r="F11" s="4">
        <v>125</v>
      </c>
      <c r="G11" s="4">
        <v>125</v>
      </c>
      <c r="N11" t="b">
        <f t="array" ref="N11">$I$24:$L$37&lt;=1</f>
        <v>1</v>
      </c>
    </row>
    <row r="12" spans="1:14" ht="21" customHeight="1" x14ac:dyDescent="0.2">
      <c r="A12" s="4">
        <v>7</v>
      </c>
      <c r="B12" s="4">
        <v>110</v>
      </c>
      <c r="C12" s="4">
        <v>110</v>
      </c>
      <c r="D12" s="4">
        <v>110</v>
      </c>
      <c r="E12" s="4">
        <v>110</v>
      </c>
      <c r="F12" s="4">
        <v>110</v>
      </c>
      <c r="G12" s="4">
        <v>110</v>
      </c>
      <c r="N12">
        <f>{32767,32767,0.000001,0,TRUE,FALSE,TRUE,1,1,1,0.0001,TRUE}</f>
        <v>32767</v>
      </c>
    </row>
    <row r="13" spans="1:14" ht="21" customHeight="1" x14ac:dyDescent="0.2">
      <c r="A13" s="4">
        <v>8</v>
      </c>
      <c r="B13" s="4">
        <v>144</v>
      </c>
      <c r="C13" s="4">
        <v>142</v>
      </c>
      <c r="D13" s="4">
        <v>142</v>
      </c>
      <c r="E13" s="4">
        <v>140</v>
      </c>
      <c r="F13" s="4">
        <v>142</v>
      </c>
      <c r="G13" s="4">
        <v>142</v>
      </c>
      <c r="N13">
        <f>{0,0,1,100,0,FALSE,TRUE,0.075,0,0,FALSE,30}</f>
        <v>0</v>
      </c>
    </row>
    <row r="14" spans="1:14" ht="21" customHeight="1" x14ac:dyDescent="0.2">
      <c r="A14" s="4">
        <v>9</v>
      </c>
      <c r="B14" s="4">
        <v>192</v>
      </c>
      <c r="C14" s="4">
        <v>183</v>
      </c>
      <c r="D14" s="4">
        <v>177</v>
      </c>
      <c r="E14" s="4">
        <v>168</v>
      </c>
      <c r="F14" s="4">
        <v>175</v>
      </c>
      <c r="G14" s="4">
        <v>185</v>
      </c>
    </row>
    <row r="15" spans="1:14" ht="21" customHeight="1" x14ac:dyDescent="0.2">
      <c r="A15" s="4">
        <v>10</v>
      </c>
      <c r="B15" s="4">
        <v>130</v>
      </c>
      <c r="C15" s="4">
        <v>130</v>
      </c>
      <c r="D15" s="4">
        <v>130</v>
      </c>
      <c r="E15" s="4">
        <v>130</v>
      </c>
      <c r="F15" s="4">
        <v>130</v>
      </c>
      <c r="G15" s="4">
        <v>130</v>
      </c>
    </row>
    <row r="16" spans="1:14" ht="21" customHeight="1" x14ac:dyDescent="0.2">
      <c r="A16" s="4">
        <v>11</v>
      </c>
      <c r="B16" s="4">
        <v>120</v>
      </c>
      <c r="C16" s="4">
        <v>120</v>
      </c>
      <c r="D16" s="4">
        <v>120</v>
      </c>
      <c r="E16" s="4">
        <v>120</v>
      </c>
      <c r="F16" s="4">
        <v>120</v>
      </c>
      <c r="G16" s="4">
        <v>120</v>
      </c>
    </row>
    <row r="17" spans="1:12" ht="21" customHeight="1" x14ac:dyDescent="0.2">
      <c r="A17" s="4">
        <v>12</v>
      </c>
      <c r="B17" s="4">
        <v>156</v>
      </c>
      <c r="C17" s="4">
        <v>153</v>
      </c>
      <c r="D17" s="4">
        <v>153</v>
      </c>
      <c r="E17" s="4">
        <v>150</v>
      </c>
      <c r="F17" s="4">
        <v>153</v>
      </c>
      <c r="G17" s="4">
        <v>153</v>
      </c>
    </row>
    <row r="18" spans="1:12" ht="21" customHeight="1" x14ac:dyDescent="0.2">
      <c r="A18" s="4">
        <v>13</v>
      </c>
      <c r="B18" s="4">
        <v>180</v>
      </c>
      <c r="C18" s="4">
        <v>175</v>
      </c>
      <c r="D18" s="4">
        <v>182</v>
      </c>
      <c r="E18" s="4">
        <v>175</v>
      </c>
      <c r="F18" s="4">
        <v>188</v>
      </c>
      <c r="G18" s="4">
        <v>181</v>
      </c>
    </row>
    <row r="19" spans="1:12" ht="21" customHeight="1" x14ac:dyDescent="0.2">
      <c r="A19" s="4">
        <v>14</v>
      </c>
      <c r="B19" s="4">
        <v>150</v>
      </c>
      <c r="C19" s="4">
        <v>150</v>
      </c>
      <c r="D19" s="4">
        <v>150</v>
      </c>
      <c r="E19" s="4">
        <v>150</v>
      </c>
      <c r="F19" s="4">
        <v>150</v>
      </c>
      <c r="G19" s="4">
        <v>150</v>
      </c>
    </row>
    <row r="20" spans="1:12" ht="21" customHeight="1" x14ac:dyDescent="0.2"/>
    <row r="21" spans="1:12" ht="21" customHeight="1" x14ac:dyDescent="0.2"/>
    <row r="22" spans="1:12" ht="25" customHeight="1" x14ac:dyDescent="0.2">
      <c r="A22" s="9" t="s">
        <v>53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ht="32" customHeight="1" x14ac:dyDescent="0.2">
      <c r="A23" s="1" t="s">
        <v>46</v>
      </c>
      <c r="B23" s="1" t="s">
        <v>47</v>
      </c>
      <c r="C23" s="1" t="s">
        <v>48</v>
      </c>
      <c r="D23" s="1" t="s">
        <v>49</v>
      </c>
      <c r="E23" s="1" t="s">
        <v>50</v>
      </c>
      <c r="F23" s="1" t="s">
        <v>51</v>
      </c>
      <c r="G23" s="1" t="s">
        <v>52</v>
      </c>
      <c r="H23" s="1" t="s">
        <v>54</v>
      </c>
      <c r="I23" s="1" t="s">
        <v>55</v>
      </c>
      <c r="J23" s="1" t="s">
        <v>56</v>
      </c>
      <c r="K23" s="1" t="s">
        <v>57</v>
      </c>
      <c r="L23" s="1" t="s">
        <v>58</v>
      </c>
    </row>
    <row r="24" spans="1:12" ht="21" customHeight="1" x14ac:dyDescent="0.2">
      <c r="A24" s="4">
        <v>1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f t="shared" ref="H24:H37" si="0">SUM(B24:G24)</f>
        <v>0</v>
      </c>
      <c r="I24" s="13">
        <f t="shared" ref="I24:I37" si="1">B24+C24+F24</f>
        <v>0</v>
      </c>
      <c r="J24" s="13">
        <f t="shared" ref="J24:J37" si="2">D24+E24+F24</f>
        <v>0</v>
      </c>
      <c r="K24" s="13">
        <f t="shared" ref="K24:K37" si="3">B24+D24+G24</f>
        <v>0</v>
      </c>
      <c r="L24" s="13">
        <f t="shared" ref="L24:L37" si="4">C24+E24+G24</f>
        <v>0</v>
      </c>
    </row>
    <row r="25" spans="1:12" ht="21" customHeight="1" x14ac:dyDescent="0.2">
      <c r="A25" s="4">
        <v>2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f t="shared" si="0"/>
        <v>0</v>
      </c>
      <c r="I25" s="13">
        <f t="shared" si="1"/>
        <v>0</v>
      </c>
      <c r="J25" s="13">
        <f t="shared" si="2"/>
        <v>0</v>
      </c>
      <c r="K25" s="13">
        <f t="shared" si="3"/>
        <v>0</v>
      </c>
      <c r="L25" s="13">
        <f t="shared" si="4"/>
        <v>0</v>
      </c>
    </row>
    <row r="26" spans="1:12" ht="21" customHeight="1" x14ac:dyDescent="0.2">
      <c r="A26" s="4">
        <v>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f t="shared" si="0"/>
        <v>0</v>
      </c>
      <c r="I26" s="13">
        <f t="shared" si="1"/>
        <v>0</v>
      </c>
      <c r="J26" s="13">
        <f t="shared" si="2"/>
        <v>0</v>
      </c>
      <c r="K26" s="13">
        <f t="shared" si="3"/>
        <v>0</v>
      </c>
      <c r="L26" s="13">
        <f t="shared" si="4"/>
        <v>0</v>
      </c>
    </row>
    <row r="27" spans="1:12" ht="21" customHeight="1" x14ac:dyDescent="0.2">
      <c r="A27" s="4">
        <v>4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f t="shared" si="0"/>
        <v>0</v>
      </c>
      <c r="I27" s="13">
        <f t="shared" si="1"/>
        <v>0</v>
      </c>
      <c r="J27" s="13">
        <f t="shared" si="2"/>
        <v>0</v>
      </c>
      <c r="K27" s="13">
        <f t="shared" si="3"/>
        <v>0</v>
      </c>
      <c r="L27" s="13">
        <f t="shared" si="4"/>
        <v>0</v>
      </c>
    </row>
    <row r="28" spans="1:12" ht="21" customHeight="1" x14ac:dyDescent="0.2">
      <c r="A28" s="4">
        <v>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f t="shared" si="0"/>
        <v>1</v>
      </c>
      <c r="I28" s="13">
        <f t="shared" si="1"/>
        <v>0</v>
      </c>
      <c r="J28" s="13">
        <f t="shared" si="2"/>
        <v>1</v>
      </c>
      <c r="K28" s="13">
        <f t="shared" si="3"/>
        <v>0</v>
      </c>
      <c r="L28" s="13">
        <f t="shared" si="4"/>
        <v>1</v>
      </c>
    </row>
    <row r="29" spans="1:12" ht="21" customHeight="1" x14ac:dyDescent="0.2">
      <c r="A29" s="4">
        <v>6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f t="shared" si="0"/>
        <v>0</v>
      </c>
      <c r="I29" s="13">
        <f t="shared" si="1"/>
        <v>0</v>
      </c>
      <c r="J29" s="13">
        <f t="shared" si="2"/>
        <v>0</v>
      </c>
      <c r="K29" s="13">
        <f t="shared" si="3"/>
        <v>0</v>
      </c>
      <c r="L29" s="13">
        <f t="shared" si="4"/>
        <v>0</v>
      </c>
    </row>
    <row r="30" spans="1:12" ht="21" customHeight="1" x14ac:dyDescent="0.2">
      <c r="A30" s="4">
        <v>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f t="shared" si="0"/>
        <v>0</v>
      </c>
      <c r="I30" s="13">
        <f t="shared" si="1"/>
        <v>0</v>
      </c>
      <c r="J30" s="13">
        <f t="shared" si="2"/>
        <v>0</v>
      </c>
      <c r="K30" s="13">
        <f t="shared" si="3"/>
        <v>0</v>
      </c>
      <c r="L30" s="13">
        <f t="shared" si="4"/>
        <v>0</v>
      </c>
    </row>
    <row r="31" spans="1:12" ht="21" customHeight="1" x14ac:dyDescent="0.2">
      <c r="A31" s="4">
        <v>8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f t="shared" si="0"/>
        <v>0</v>
      </c>
      <c r="I31" s="13">
        <f t="shared" si="1"/>
        <v>0</v>
      </c>
      <c r="J31" s="13">
        <f t="shared" si="2"/>
        <v>0</v>
      </c>
      <c r="K31" s="13">
        <f t="shared" si="3"/>
        <v>0</v>
      </c>
      <c r="L31" s="13">
        <f t="shared" si="4"/>
        <v>0</v>
      </c>
    </row>
    <row r="32" spans="1:12" ht="21" customHeight="1" x14ac:dyDescent="0.2">
      <c r="A32" s="4">
        <v>9</v>
      </c>
      <c r="B32" s="13">
        <v>1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f t="shared" si="0"/>
        <v>1</v>
      </c>
      <c r="I32" s="13">
        <f t="shared" si="1"/>
        <v>1</v>
      </c>
      <c r="J32" s="13">
        <f t="shared" si="2"/>
        <v>0</v>
      </c>
      <c r="K32" s="13">
        <f t="shared" si="3"/>
        <v>1</v>
      </c>
      <c r="L32" s="13">
        <f t="shared" si="4"/>
        <v>0</v>
      </c>
    </row>
    <row r="33" spans="1:12" ht="21" customHeight="1" x14ac:dyDescent="0.2">
      <c r="A33" s="4">
        <v>10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f t="shared" si="0"/>
        <v>0</v>
      </c>
      <c r="I33" s="13">
        <f t="shared" si="1"/>
        <v>0</v>
      </c>
      <c r="J33" s="13">
        <f t="shared" si="2"/>
        <v>0</v>
      </c>
      <c r="K33" s="13">
        <f t="shared" si="3"/>
        <v>0</v>
      </c>
      <c r="L33" s="13">
        <f t="shared" si="4"/>
        <v>0</v>
      </c>
    </row>
    <row r="34" spans="1:12" ht="21" customHeight="1" x14ac:dyDescent="0.2">
      <c r="A34" s="4">
        <v>11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f t="shared" si="0"/>
        <v>0</v>
      </c>
      <c r="I34" s="13">
        <f t="shared" si="1"/>
        <v>0</v>
      </c>
      <c r="J34" s="13">
        <f t="shared" si="2"/>
        <v>0</v>
      </c>
      <c r="K34" s="13">
        <f t="shared" si="3"/>
        <v>0</v>
      </c>
      <c r="L34" s="13">
        <f t="shared" si="4"/>
        <v>0</v>
      </c>
    </row>
    <row r="35" spans="1:12" ht="21" customHeight="1" x14ac:dyDescent="0.2">
      <c r="A35" s="4">
        <v>12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f t="shared" si="0"/>
        <v>0</v>
      </c>
      <c r="I35" s="13">
        <f t="shared" si="1"/>
        <v>0</v>
      </c>
      <c r="J35" s="13">
        <f t="shared" si="2"/>
        <v>0</v>
      </c>
      <c r="K35" s="13">
        <f t="shared" si="3"/>
        <v>0</v>
      </c>
      <c r="L35" s="13">
        <f t="shared" si="4"/>
        <v>0</v>
      </c>
    </row>
    <row r="36" spans="1:12" ht="21" customHeight="1" x14ac:dyDescent="0.2">
      <c r="A36" s="4">
        <v>13</v>
      </c>
      <c r="B36" s="13">
        <v>0</v>
      </c>
      <c r="C36" s="13">
        <v>0</v>
      </c>
      <c r="D36" s="13">
        <v>0</v>
      </c>
      <c r="E36" s="13">
        <v>0</v>
      </c>
      <c r="F36" s="13">
        <v>1</v>
      </c>
      <c r="G36" s="13">
        <v>1</v>
      </c>
      <c r="H36" s="13">
        <f t="shared" si="0"/>
        <v>2</v>
      </c>
      <c r="I36" s="13">
        <f t="shared" si="1"/>
        <v>1</v>
      </c>
      <c r="J36" s="13">
        <f t="shared" si="2"/>
        <v>1</v>
      </c>
      <c r="K36" s="13">
        <f t="shared" si="3"/>
        <v>1</v>
      </c>
      <c r="L36" s="13">
        <f t="shared" si="4"/>
        <v>1</v>
      </c>
    </row>
    <row r="37" spans="1:12" ht="21" customHeight="1" x14ac:dyDescent="0.2">
      <c r="A37" s="4">
        <v>14</v>
      </c>
      <c r="B37" s="13">
        <v>0</v>
      </c>
      <c r="C37" s="13">
        <v>1</v>
      </c>
      <c r="D37" s="13">
        <v>1</v>
      </c>
      <c r="E37" s="13">
        <v>0</v>
      </c>
      <c r="F37" s="13">
        <v>0</v>
      </c>
      <c r="G37" s="13">
        <v>0</v>
      </c>
      <c r="H37" s="13">
        <f t="shared" si="0"/>
        <v>2</v>
      </c>
      <c r="I37" s="13">
        <f t="shared" si="1"/>
        <v>1</v>
      </c>
      <c r="J37" s="13">
        <f t="shared" si="2"/>
        <v>1</v>
      </c>
      <c r="K37" s="13">
        <f t="shared" si="3"/>
        <v>1</v>
      </c>
      <c r="L37" s="13">
        <f t="shared" si="4"/>
        <v>1</v>
      </c>
    </row>
    <row r="38" spans="1:12" ht="21" customHeight="1" x14ac:dyDescent="0.2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1:12" ht="21" customHeight="1" x14ac:dyDescent="0.2">
      <c r="A39" s="2" t="s">
        <v>59</v>
      </c>
      <c r="B39" s="13">
        <f t="shared" ref="B39:G39" si="5">SUM(B24:B37)</f>
        <v>1</v>
      </c>
      <c r="C39" s="13">
        <f t="shared" si="5"/>
        <v>1</v>
      </c>
      <c r="D39" s="13">
        <f t="shared" si="5"/>
        <v>1</v>
      </c>
      <c r="E39" s="13">
        <f t="shared" si="5"/>
        <v>1</v>
      </c>
      <c r="F39" s="13">
        <f t="shared" si="5"/>
        <v>1</v>
      </c>
      <c r="G39" s="13">
        <f t="shared" si="5"/>
        <v>1</v>
      </c>
      <c r="H39" s="14"/>
      <c r="I39" s="14"/>
      <c r="J39" s="14"/>
      <c r="K39" s="14"/>
      <c r="L39" s="14"/>
    </row>
    <row r="40" spans="1:12" ht="21" customHeight="1" x14ac:dyDescent="0.2">
      <c r="A40" s="2" t="s">
        <v>60</v>
      </c>
      <c r="B40" s="13">
        <f t="shared" ref="B40:G40" si="6">SUMPRODUCT($A$24:$A$37,B24:B37)</f>
        <v>9</v>
      </c>
      <c r="C40" s="13">
        <f t="shared" si="6"/>
        <v>14</v>
      </c>
      <c r="D40" s="13">
        <f t="shared" si="6"/>
        <v>14</v>
      </c>
      <c r="E40" s="13">
        <f t="shared" si="6"/>
        <v>5</v>
      </c>
      <c r="F40" s="13">
        <f t="shared" si="6"/>
        <v>13</v>
      </c>
      <c r="G40" s="13">
        <f t="shared" si="6"/>
        <v>13</v>
      </c>
      <c r="H40" s="14"/>
      <c r="I40" s="14"/>
      <c r="J40" s="14"/>
      <c r="K40" s="14"/>
      <c r="L40" s="14"/>
    </row>
    <row r="41" spans="1:12" ht="21" customHeight="1" x14ac:dyDescent="0.2">
      <c r="A41" s="2" t="s">
        <v>61</v>
      </c>
      <c r="B41" s="13">
        <f t="shared" ref="B41:G41" si="7">SUMPRODUCT(B6:B19,B24:B37)</f>
        <v>192</v>
      </c>
      <c r="C41" s="13">
        <f t="shared" si="7"/>
        <v>150</v>
      </c>
      <c r="D41" s="13">
        <f t="shared" si="7"/>
        <v>150</v>
      </c>
      <c r="E41" s="13">
        <f t="shared" si="7"/>
        <v>177</v>
      </c>
      <c r="F41" s="13">
        <f t="shared" si="7"/>
        <v>188</v>
      </c>
      <c r="G41" s="13">
        <f t="shared" si="7"/>
        <v>181</v>
      </c>
      <c r="H41" s="14"/>
      <c r="I41" s="14"/>
      <c r="J41" s="14"/>
      <c r="K41" s="14"/>
      <c r="L41" s="14"/>
    </row>
    <row r="42" spans="1:12" ht="21" customHeight="1" x14ac:dyDescent="0.2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2" ht="21" customHeight="1" x14ac:dyDescent="0.2">
      <c r="A43" s="2" t="s">
        <v>62</v>
      </c>
      <c r="B43" s="15">
        <f>SUMPRODUCT(B6:G19,B24:G37)</f>
        <v>1038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12" ht="21" customHeight="1" x14ac:dyDescent="0.2"/>
    <row r="45" spans="1:12" ht="29" customHeight="1" x14ac:dyDescent="0.2">
      <c r="A45" s="7" t="s">
        <v>63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ht="29" customHeight="1" x14ac:dyDescent="0.2">
      <c r="A46" s="7" t="s">
        <v>64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9" customHeight="1" x14ac:dyDescent="0.2">
      <c r="A47" s="7" t="s">
        <v>84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9" customHeight="1" x14ac:dyDescent="0.2">
      <c r="A48" s="7" t="s">
        <v>65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1" customHeight="1" x14ac:dyDescent="0.2"/>
    <row r="50" spans="1:12" ht="29" customHeight="1" x14ac:dyDescent="0.2">
      <c r="A50" s="7" t="s">
        <v>66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spans="1:12" ht="29" customHeight="1" x14ac:dyDescent="0.2">
      <c r="A51" s="7" t="s">
        <v>67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spans="1:12" ht="29" customHeight="1" x14ac:dyDescent="0.2">
      <c r="A52" s="7" t="s">
        <v>68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1:12" ht="21" customHeight="1" x14ac:dyDescent="0.2"/>
    <row r="54" spans="1:12" ht="21" customHeight="1" x14ac:dyDescent="0.2"/>
    <row r="55" spans="1:12" ht="25" customHeight="1" x14ac:dyDescent="0.2">
      <c r="A55" s="9" t="s">
        <v>69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 spans="1:12" ht="29" customHeight="1" x14ac:dyDescent="0.2">
      <c r="A56" s="7" t="s">
        <v>70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 spans="1:12" ht="29" customHeight="1" x14ac:dyDescent="0.2">
      <c r="A57" s="7" t="s">
        <v>71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1:12" ht="29" customHeight="1" x14ac:dyDescent="0.2">
      <c r="A58" s="7" t="s">
        <v>72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1:12" ht="21" customHeight="1" x14ac:dyDescent="0.2"/>
    <row r="60" spans="1:12" ht="32" customHeight="1" x14ac:dyDescent="0.2">
      <c r="A60" s="1" t="s">
        <v>73</v>
      </c>
      <c r="B60" s="1" t="s">
        <v>55</v>
      </c>
      <c r="C60" s="1" t="s">
        <v>56</v>
      </c>
      <c r="D60" s="1" t="s">
        <v>57</v>
      </c>
      <c r="E60" s="1" t="s">
        <v>58</v>
      </c>
    </row>
    <row r="61" spans="1:12" ht="21" customHeight="1" x14ac:dyDescent="0.2">
      <c r="A61" s="4">
        <v>1</v>
      </c>
      <c r="B61" s="2">
        <f t="shared" ref="B61:B72" si="8">SUM(I24:I26)</f>
        <v>0</v>
      </c>
      <c r="C61" s="2">
        <f t="shared" ref="C61:C72" si="9">SUM(J24:J26)</f>
        <v>0</v>
      </c>
      <c r="D61" s="2">
        <f t="shared" ref="D61:D72" si="10">SUM(K24:K26)</f>
        <v>0</v>
      </c>
      <c r="E61" s="2">
        <f t="shared" ref="E61:E72" si="11">SUM(L24:L26)</f>
        <v>0</v>
      </c>
    </row>
    <row r="62" spans="1:12" ht="21" customHeight="1" x14ac:dyDescent="0.2">
      <c r="A62" s="4">
        <v>2</v>
      </c>
      <c r="B62" s="2">
        <f t="shared" si="8"/>
        <v>0</v>
      </c>
      <c r="C62" s="2">
        <f t="shared" si="9"/>
        <v>0</v>
      </c>
      <c r="D62" s="2">
        <f t="shared" si="10"/>
        <v>0</v>
      </c>
      <c r="E62" s="2">
        <f t="shared" si="11"/>
        <v>0</v>
      </c>
    </row>
    <row r="63" spans="1:12" ht="21" customHeight="1" x14ac:dyDescent="0.2">
      <c r="A63" s="4">
        <v>3</v>
      </c>
      <c r="B63" s="2">
        <f t="shared" si="8"/>
        <v>0</v>
      </c>
      <c r="C63" s="2">
        <f t="shared" si="9"/>
        <v>1</v>
      </c>
      <c r="D63" s="2">
        <f t="shared" si="10"/>
        <v>0</v>
      </c>
      <c r="E63" s="2">
        <f t="shared" si="11"/>
        <v>1</v>
      </c>
    </row>
    <row r="64" spans="1:12" ht="21" customHeight="1" x14ac:dyDescent="0.2">
      <c r="A64" s="4">
        <v>4</v>
      </c>
      <c r="B64" s="2">
        <f t="shared" si="8"/>
        <v>0</v>
      </c>
      <c r="C64" s="2">
        <f t="shared" si="9"/>
        <v>1</v>
      </c>
      <c r="D64" s="2">
        <f t="shared" si="10"/>
        <v>0</v>
      </c>
      <c r="E64" s="2">
        <f t="shared" si="11"/>
        <v>1</v>
      </c>
    </row>
    <row r="65" spans="1:12" ht="21" customHeight="1" x14ac:dyDescent="0.2">
      <c r="A65" s="4">
        <v>5</v>
      </c>
      <c r="B65" s="2">
        <f t="shared" si="8"/>
        <v>0</v>
      </c>
      <c r="C65" s="2">
        <f t="shared" si="9"/>
        <v>1</v>
      </c>
      <c r="D65" s="2">
        <f t="shared" si="10"/>
        <v>0</v>
      </c>
      <c r="E65" s="2">
        <f t="shared" si="11"/>
        <v>1</v>
      </c>
    </row>
    <row r="66" spans="1:12" ht="21" customHeight="1" x14ac:dyDescent="0.2">
      <c r="A66" s="4">
        <v>6</v>
      </c>
      <c r="B66" s="2">
        <f t="shared" si="8"/>
        <v>0</v>
      </c>
      <c r="C66" s="2">
        <f t="shared" si="9"/>
        <v>0</v>
      </c>
      <c r="D66" s="2">
        <f t="shared" si="10"/>
        <v>0</v>
      </c>
      <c r="E66" s="2">
        <f t="shared" si="11"/>
        <v>0</v>
      </c>
    </row>
    <row r="67" spans="1:12" ht="21" customHeight="1" x14ac:dyDescent="0.2">
      <c r="A67" s="4">
        <v>7</v>
      </c>
      <c r="B67" s="2">
        <f t="shared" si="8"/>
        <v>1</v>
      </c>
      <c r="C67" s="2">
        <f t="shared" si="9"/>
        <v>0</v>
      </c>
      <c r="D67" s="2">
        <f t="shared" si="10"/>
        <v>1</v>
      </c>
      <c r="E67" s="2">
        <f t="shared" si="11"/>
        <v>0</v>
      </c>
    </row>
    <row r="68" spans="1:12" ht="21" customHeight="1" x14ac:dyDescent="0.2">
      <c r="A68" s="4">
        <v>8</v>
      </c>
      <c r="B68" s="2">
        <f t="shared" si="8"/>
        <v>1</v>
      </c>
      <c r="C68" s="2">
        <f t="shared" si="9"/>
        <v>0</v>
      </c>
      <c r="D68" s="2">
        <f t="shared" si="10"/>
        <v>1</v>
      </c>
      <c r="E68" s="2">
        <f t="shared" si="11"/>
        <v>0</v>
      </c>
    </row>
    <row r="69" spans="1:12" ht="21" customHeight="1" x14ac:dyDescent="0.2">
      <c r="A69" s="4">
        <v>9</v>
      </c>
      <c r="B69" s="2">
        <f t="shared" si="8"/>
        <v>1</v>
      </c>
      <c r="C69" s="2">
        <f t="shared" si="9"/>
        <v>0</v>
      </c>
      <c r="D69" s="2">
        <f t="shared" si="10"/>
        <v>1</v>
      </c>
      <c r="E69" s="2">
        <f t="shared" si="11"/>
        <v>0</v>
      </c>
    </row>
    <row r="70" spans="1:12" ht="21" customHeight="1" x14ac:dyDescent="0.2">
      <c r="A70" s="4">
        <v>10</v>
      </c>
      <c r="B70" s="2">
        <f t="shared" si="8"/>
        <v>0</v>
      </c>
      <c r="C70" s="2">
        <f t="shared" si="9"/>
        <v>0</v>
      </c>
      <c r="D70" s="2">
        <f t="shared" si="10"/>
        <v>0</v>
      </c>
      <c r="E70" s="2">
        <f t="shared" si="11"/>
        <v>0</v>
      </c>
    </row>
    <row r="71" spans="1:12" ht="21" customHeight="1" x14ac:dyDescent="0.2">
      <c r="A71" s="4">
        <v>11</v>
      </c>
      <c r="B71" s="2">
        <f t="shared" si="8"/>
        <v>1</v>
      </c>
      <c r="C71" s="2">
        <f t="shared" si="9"/>
        <v>1</v>
      </c>
      <c r="D71" s="2">
        <f t="shared" si="10"/>
        <v>1</v>
      </c>
      <c r="E71" s="2">
        <f t="shared" si="11"/>
        <v>1</v>
      </c>
    </row>
    <row r="72" spans="1:12" ht="21" customHeight="1" x14ac:dyDescent="0.2">
      <c r="A72" s="4">
        <v>12</v>
      </c>
      <c r="B72" s="2">
        <f t="shared" si="8"/>
        <v>2</v>
      </c>
      <c r="C72" s="2">
        <f t="shared" si="9"/>
        <v>2</v>
      </c>
      <c r="D72" s="2">
        <f t="shared" si="10"/>
        <v>2</v>
      </c>
      <c r="E72" s="2">
        <f t="shared" si="11"/>
        <v>2</v>
      </c>
    </row>
    <row r="73" spans="1:12" ht="21" customHeight="1" x14ac:dyDescent="0.2"/>
    <row r="74" spans="1:12" ht="29" customHeight="1" x14ac:dyDescent="0.2">
      <c r="A74" s="7" t="s">
        <v>74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</row>
    <row r="75" spans="1:12" ht="21" customHeight="1" x14ac:dyDescent="0.2"/>
    <row r="76" spans="1:12" ht="29" customHeight="1" x14ac:dyDescent="0.2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spans="1:12" ht="21" customHeight="1" x14ac:dyDescent="0.2"/>
  </sheetData>
  <mergeCells count="17">
    <mergeCell ref="A1:L1"/>
    <mergeCell ref="A46:L46"/>
    <mergeCell ref="A58:L58"/>
    <mergeCell ref="A22:L22"/>
    <mergeCell ref="A74:L74"/>
    <mergeCell ref="A56:L56"/>
    <mergeCell ref="A55:L55"/>
    <mergeCell ref="A50:L50"/>
    <mergeCell ref="A4:L4"/>
    <mergeCell ref="A48:L48"/>
    <mergeCell ref="A57:L57"/>
    <mergeCell ref="A2:L2"/>
    <mergeCell ref="A52:L52"/>
    <mergeCell ref="A76:L76"/>
    <mergeCell ref="A51:L51"/>
    <mergeCell ref="A47:L47"/>
    <mergeCell ref="A45:L45"/>
  </mergeCell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Problem 1</vt:lpstr>
      <vt:lpstr>Problem 2</vt:lpstr>
      <vt:lpstr>'Problem 1'!Print_Area</vt:lpstr>
      <vt:lpstr>'Problem 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Mahir Nagersheth</cp:lastModifiedBy>
  <dcterms:created xsi:type="dcterms:W3CDTF">2026-09-28T21:47:17Z</dcterms:created>
  <dcterms:modified xsi:type="dcterms:W3CDTF">2026-09-28T22:04:07Z</dcterms:modified>
</cp:coreProperties>
</file>