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ir/Downloads/DMU/_support/w5/"/>
    </mc:Choice>
  </mc:AlternateContent>
  <xr:revisionPtr revIDLastSave="0" documentId="13_ncr:1_{19C3B992-9886-9A41-BEA6-8E63A67BAB14}" xr6:coauthVersionLast="47" xr6:coauthVersionMax="47" xr10:uidLastSave="{00000000-0000-0000-0000-000000000000}"/>
  <bookViews>
    <workbookView xWindow="4380" yWindow="580" windowWidth="23400" windowHeight="16380" xr2:uid="{00000000-000D-0000-FFFF-FFFF00000000}"/>
  </bookViews>
  <sheets>
    <sheet name="Harvest" sheetId="1" r:id="rId1"/>
  </sheets>
  <definedNames>
    <definedName name="_xlnm.Print_Area" localSheetId="0">Harvest!$B$1:$H$52</definedName>
    <definedName name="solver_adj" localSheetId="0" hidden="1">Harvest!$C$21:$D$30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Harvest!$C$21:$C$30</definedName>
    <definedName name="solver_lhs10" localSheetId="0" hidden="1">Harvest!$D$21:$D$30</definedName>
    <definedName name="solver_lhs11" localSheetId="0" hidden="1">Harvest!$D$21:$D$30</definedName>
    <definedName name="solver_lhs12" localSheetId="0" hidden="1">Harvest!$D$21:$D$30</definedName>
    <definedName name="solver_lhs2" localSheetId="0" hidden="1">Harvest!$C$37</definedName>
    <definedName name="solver_lhs3" localSheetId="0" hidden="1">Harvest!$C$38:$C$41</definedName>
    <definedName name="solver_lhs4" localSheetId="0" hidden="1">Harvest!$C$42:$C$43</definedName>
    <definedName name="solver_lhs5" localSheetId="0" hidden="1">Harvest!$D$21:$D$30</definedName>
    <definedName name="solver_lhs6" localSheetId="0" hidden="1">Harvest!$D$21:$D$30</definedName>
    <definedName name="solver_lhs7" localSheetId="0" hidden="1">Harvest!$D$21:$D$30</definedName>
    <definedName name="solver_lhs8" localSheetId="0" hidden="1">Harvest!$C$46</definedName>
    <definedName name="solver_lhs9" localSheetId="0" hidden="1">Harvest!$C$47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7</definedName>
    <definedName name="solver_opt" localSheetId="0" hidden="1">Harvest!$D$33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10" localSheetId="0" hidden="1">1</definedName>
    <definedName name="solver_rel11" localSheetId="0" hidden="1">4</definedName>
    <definedName name="solver_rel12" localSheetId="0" hidden="1">3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1</definedName>
    <definedName name="solver_rel6" localSheetId="0" hidden="1">4</definedName>
    <definedName name="solver_rel7" localSheetId="0" hidden="1">3</definedName>
    <definedName name="solver_rel8" localSheetId="0" hidden="1">1</definedName>
    <definedName name="solver_rel9" localSheetId="0" hidden="1">3</definedName>
    <definedName name="solver_rhs1" localSheetId="0" hidden="1">"binary"</definedName>
    <definedName name="solver_rhs10" localSheetId="0" hidden="1">Harvest!$F$21:$F$30</definedName>
    <definedName name="solver_rhs11" localSheetId="0" hidden="1">"integer"</definedName>
    <definedName name="solver_rhs12" localSheetId="0" hidden="1">Harvest!$E$21:$E$30</definedName>
    <definedName name="solver_rhs2" localSheetId="0" hidden="1">Harvest!$E$37</definedName>
    <definedName name="solver_rhs3" localSheetId="0" hidden="1">Harvest!$E$38:$E$41</definedName>
    <definedName name="solver_rhs4" localSheetId="0" hidden="1">Harvest!$E$42:$E$43</definedName>
    <definedName name="solver_rhs5" localSheetId="0" hidden="1">Harvest!$F$21:$F$30</definedName>
    <definedName name="solver_rhs6" localSheetId="0" hidden="1">"integer"</definedName>
    <definedName name="solver_rhs7" localSheetId="0" hidden="1">Harvest!$E$21:$E$30</definedName>
    <definedName name="solver_rhs8" localSheetId="0" hidden="1">Harvest!$E$46</definedName>
    <definedName name="solver_rhs9" localSheetId="0" hidden="1">Harvest!$E$47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E38" i="1"/>
  <c r="E39" i="1"/>
  <c r="E40" i="1"/>
  <c r="E41" i="1"/>
  <c r="E42" i="1"/>
  <c r="E43" i="1"/>
  <c r="C38" i="1"/>
  <c r="F38" i="1" s="1"/>
  <c r="C39" i="1"/>
  <c r="F39" i="1" s="1"/>
  <c r="C40" i="1"/>
  <c r="F40" i="1" s="1"/>
  <c r="C41" i="1"/>
  <c r="F41" i="1" s="1"/>
  <c r="C42" i="1"/>
  <c r="F42" i="1" s="1"/>
  <c r="C43" i="1"/>
  <c r="F43" i="1" s="1"/>
  <c r="H30" i="1"/>
  <c r="G30" i="1"/>
  <c r="E30" i="1"/>
  <c r="H29" i="1"/>
  <c r="G29" i="1"/>
  <c r="F29" i="1"/>
  <c r="E29" i="1"/>
  <c r="H28" i="1"/>
  <c r="G28" i="1"/>
  <c r="E28" i="1"/>
  <c r="H27" i="1"/>
  <c r="G27" i="1"/>
  <c r="F27" i="1"/>
  <c r="E27" i="1"/>
  <c r="H26" i="1"/>
  <c r="G26" i="1"/>
  <c r="F26" i="1"/>
  <c r="E26" i="1"/>
  <c r="H25" i="1"/>
  <c r="G25" i="1"/>
  <c r="E25" i="1"/>
  <c r="H24" i="1"/>
  <c r="G24" i="1"/>
  <c r="E24" i="1"/>
  <c r="H23" i="1"/>
  <c r="G23" i="1"/>
  <c r="E23" i="1"/>
  <c r="H22" i="1"/>
  <c r="G22" i="1"/>
  <c r="E22" i="1"/>
  <c r="H21" i="1"/>
  <c r="G21" i="1"/>
  <c r="E21" i="1"/>
  <c r="F30" i="1"/>
  <c r="F28" i="1"/>
  <c r="F25" i="1"/>
  <c r="F24" i="1"/>
  <c r="F23" i="1"/>
  <c r="F22" i="1"/>
  <c r="F21" i="1"/>
  <c r="C37" i="1" l="1"/>
  <c r="F37" i="1" s="1"/>
  <c r="D33" i="1"/>
</calcChain>
</file>

<file path=xl/sharedStrings.xml><?xml version="1.0" encoding="utf-8"?>
<sst xmlns="http://schemas.openxmlformats.org/spreadsheetml/2006/main" count="73" uniqueCount="50">
  <si>
    <t>W5 | Community garden optimization</t>
  </si>
  <si>
    <t>PARAMETERS</t>
  </si>
  <si>
    <t>Food</t>
  </si>
  <si>
    <t>Category</t>
  </si>
  <si>
    <t>Space / plant</t>
  </si>
  <si>
    <t>Minimum</t>
  </si>
  <si>
    <t>Harvest / plant</t>
  </si>
  <si>
    <t>Tomato</t>
  </si>
  <si>
    <t>Vegetable</t>
  </si>
  <si>
    <t>Bell Pepper</t>
  </si>
  <si>
    <t>Carrot</t>
  </si>
  <si>
    <t>Lettuce</t>
  </si>
  <si>
    <t>Strawberry</t>
  </si>
  <si>
    <t>Fruit</t>
  </si>
  <si>
    <t>Cucumber</t>
  </si>
  <si>
    <t>Zucchini</t>
  </si>
  <si>
    <t>Basil</t>
  </si>
  <si>
    <t>Herb</t>
  </si>
  <si>
    <t>Cilantro</t>
  </si>
  <si>
    <t>Parsley</t>
  </si>
  <si>
    <t>Space available</t>
  </si>
  <si>
    <t>DECISION VARIABLES</t>
  </si>
  <si>
    <t>Plant (binary)</t>
  </si>
  <si>
    <t>Plants (integer)</t>
  </si>
  <si>
    <t>Min if planted</t>
  </si>
  <si>
    <t>Max if planted</t>
  </si>
  <si>
    <t>Space used</t>
  </si>
  <si>
    <t>Harvest (lb)</t>
  </si>
  <si>
    <t>OBJECTIVE FUNCTION</t>
  </si>
  <si>
    <t>Maximize expected harvest (lb)</t>
  </si>
  <si>
    <t>CONSTRAINTS</t>
  </si>
  <si>
    <t>Constraint</t>
  </si>
  <si>
    <t>LHS</t>
  </si>
  <si>
    <t>Relation</t>
  </si>
  <si>
    <t>RHS</t>
  </si>
  <si>
    <t>Slack</t>
  </si>
  <si>
    <t>Planting space</t>
  </si>
  <si>
    <t>&lt;=</t>
  </si>
  <si>
    <t>Different food types</t>
  </si>
  <si>
    <t>&gt;=</t>
  </si>
  <si>
    <t>Tomato companion herbs</t>
  </si>
  <si>
    <t>At least two named foods</t>
  </si>
  <si>
    <t>Tomato / zucchini exclusion</t>
  </si>
  <si>
    <t>Over 30 tomatoes needs lettuce</t>
  </si>
  <si>
    <t>Solver: Max D33; change C21:D30; Simplex LP; integer optimality 0%.</t>
  </si>
  <si>
    <t>Linking: D21:D30 &gt;= E21:E30 and D21:D30 &lt;= F21:F30.</t>
  </si>
  <si>
    <t>Link bound M</t>
  </si>
  <si>
    <t>Herbs need fruit / vegetable</t>
  </si>
  <si>
    <t>C21:C30 binary; D21:D30 nonnegative integers; M = 100.</t>
  </si>
  <si>
    <t>Faculty model: tomatoes optional; at least two herbs if tomatoes selected.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</si>
</sst>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202B33"/>
      <name val="Calibri"/>
      <family val="2"/>
    </font>
    <font>
      <sz val="11"/>
      <color rgb="FF000000"/>
      <name val="Calibri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4465B"/>
      </patternFill>
    </fill>
    <fill>
      <patternFill patternType="solid">
        <fgColor rgb="FFE4EDF2"/>
      </patternFill>
    </fill>
    <fill>
      <patternFill patternType="solid">
        <fgColor rgb="FFEAF2FF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/>
    <xf numFmtId="44" fontId="1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0" fillId="4" borderId="0" xfId="0" applyFill="1"/>
    <xf numFmtId="0" fontId="2" fillId="0" borderId="0" xfId="0" applyNumberFormat="1" applyFont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1" applyNumberFormat="1" applyFont="1" applyAlignment="1">
      <alignment vertical="center"/>
    </xf>
    <xf numFmtId="0" fontId="0" fillId="4" borderId="0" xfId="0" applyNumberFormat="1" applyFill="1"/>
    <xf numFmtId="0" fontId="5" fillId="5" borderId="0" xfId="0" applyNumberFormat="1" applyFont="1" applyFill="1" applyAlignment="1">
      <alignment vertical="center"/>
    </xf>
    <xf numFmtId="0" fontId="6" fillId="6" borderId="0" xfId="0" applyNumberFormat="1" applyFont="1" applyFill="1" applyAlignment="1">
      <alignment vertical="center"/>
    </xf>
    <xf numFmtId="0" fontId="2" fillId="3" borderId="0" xfId="2" applyNumberFormat="1" applyFont="1" applyFill="1" applyAlignment="1">
      <alignment vertical="center"/>
    </xf>
    <xf numFmtId="0" fontId="7" fillId="7" borderId="0" xfId="0" applyNumberFormat="1" applyFont="1" applyFill="1" applyAlignment="1">
      <alignment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zoomScale="80" zoomScaleNormal="80" workbookViewId="0"/>
  </sheetViews>
  <sheetFormatPr baseColWidth="10" defaultRowHeight="16" x14ac:dyDescent="0.2"/>
  <cols>
    <col min="1" max="1" width="2" customWidth="1"/>
    <col min="2" max="2" width="39.83203125" customWidth="1"/>
    <col min="3" max="5" width="19" customWidth="1"/>
    <col min="6" max="6" width="19" bestFit="1" customWidth="1"/>
    <col min="7" max="7" width="17" customWidth="1"/>
    <col min="8" max="8" width="19" customWidth="1"/>
  </cols>
  <sheetData>
    <row r="1" spans="1:8" ht="21" customHeight="1" x14ac:dyDescent="0.2">
      <c r="A1" s="1"/>
      <c r="B1" s="3" t="s">
        <v>0</v>
      </c>
      <c r="C1" s="4"/>
      <c r="D1" s="4"/>
      <c r="E1" s="4"/>
      <c r="F1" s="4"/>
      <c r="G1" s="4"/>
      <c r="H1" s="4"/>
    </row>
    <row r="2" spans="1:8" ht="21" customHeight="1" x14ac:dyDescent="0.2">
      <c r="A2" s="1"/>
      <c r="B2" s="3" t="s">
        <v>1</v>
      </c>
      <c r="C2" s="4"/>
      <c r="D2" s="4"/>
      <c r="E2" s="4"/>
      <c r="F2" s="4"/>
      <c r="G2" s="4"/>
      <c r="H2" s="4"/>
    </row>
    <row r="3" spans="1:8" ht="21" customHeight="1" x14ac:dyDescent="0.2">
      <c r="A3" s="1"/>
      <c r="B3" s="1"/>
      <c r="C3" s="1"/>
      <c r="D3" s="1"/>
      <c r="E3" s="1"/>
      <c r="F3" s="1"/>
      <c r="G3" s="1"/>
      <c r="H3" s="1"/>
    </row>
    <row r="4" spans="1:8" ht="21" customHeight="1" x14ac:dyDescent="0.2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46</v>
      </c>
      <c r="H4" s="1"/>
    </row>
    <row r="5" spans="1:8" ht="21" customHeight="1" x14ac:dyDescent="0.2">
      <c r="A5" s="1"/>
      <c r="B5" s="1" t="s">
        <v>7</v>
      </c>
      <c r="C5" s="5" t="s">
        <v>8</v>
      </c>
      <c r="D5" s="6">
        <v>4</v>
      </c>
      <c r="E5" s="6">
        <v>4</v>
      </c>
      <c r="F5" s="6">
        <v>10</v>
      </c>
      <c r="G5" s="7">
        <v>100</v>
      </c>
      <c r="H5" s="5"/>
    </row>
    <row r="6" spans="1:8" ht="21" customHeight="1" x14ac:dyDescent="0.2">
      <c r="A6" s="1"/>
      <c r="B6" s="1" t="s">
        <v>9</v>
      </c>
      <c r="C6" s="5" t="s">
        <v>8</v>
      </c>
      <c r="D6" s="6">
        <v>2</v>
      </c>
      <c r="E6" s="6">
        <v>6</v>
      </c>
      <c r="F6" s="6">
        <v>5</v>
      </c>
      <c r="G6" s="7">
        <v>100</v>
      </c>
      <c r="H6" s="5"/>
    </row>
    <row r="7" spans="1:8" ht="21" customHeight="1" x14ac:dyDescent="0.2">
      <c r="A7" s="1"/>
      <c r="B7" s="1" t="s">
        <v>10</v>
      </c>
      <c r="C7" s="5" t="s">
        <v>8</v>
      </c>
      <c r="D7" s="6">
        <v>0.5</v>
      </c>
      <c r="E7" s="6">
        <v>20</v>
      </c>
      <c r="F7" s="6">
        <v>0.25</v>
      </c>
      <c r="G7" s="7">
        <v>100</v>
      </c>
      <c r="H7" s="5"/>
    </row>
    <row r="8" spans="1:8" ht="21" customHeight="1" x14ac:dyDescent="0.2">
      <c r="A8" s="1"/>
      <c r="B8" s="1" t="s">
        <v>11</v>
      </c>
      <c r="C8" s="5" t="s">
        <v>8</v>
      </c>
      <c r="D8" s="6">
        <v>1</v>
      </c>
      <c r="E8" s="6">
        <v>10</v>
      </c>
      <c r="F8" s="6">
        <v>1.5</v>
      </c>
      <c r="G8" s="7">
        <v>100</v>
      </c>
      <c r="H8" s="5"/>
    </row>
    <row r="9" spans="1:8" ht="21" customHeight="1" x14ac:dyDescent="0.2">
      <c r="A9" s="1"/>
      <c r="B9" s="1" t="s">
        <v>12</v>
      </c>
      <c r="C9" s="5" t="s">
        <v>13</v>
      </c>
      <c r="D9" s="6">
        <v>1</v>
      </c>
      <c r="E9" s="6">
        <v>12</v>
      </c>
      <c r="F9" s="6">
        <v>1</v>
      </c>
      <c r="G9" s="7">
        <v>100</v>
      </c>
      <c r="H9" s="5"/>
    </row>
    <row r="10" spans="1:8" ht="21" customHeight="1" x14ac:dyDescent="0.2">
      <c r="A10" s="1"/>
      <c r="B10" s="1" t="s">
        <v>14</v>
      </c>
      <c r="C10" s="5" t="s">
        <v>13</v>
      </c>
      <c r="D10" s="6">
        <v>4</v>
      </c>
      <c r="E10" s="6">
        <v>3</v>
      </c>
      <c r="F10" s="6">
        <v>8</v>
      </c>
      <c r="G10" s="7">
        <v>100</v>
      </c>
      <c r="H10" s="5"/>
    </row>
    <row r="11" spans="1:8" ht="21" customHeight="1" x14ac:dyDescent="0.2">
      <c r="A11" s="1"/>
      <c r="B11" s="1" t="s">
        <v>15</v>
      </c>
      <c r="C11" s="5" t="s">
        <v>8</v>
      </c>
      <c r="D11" s="6">
        <v>9</v>
      </c>
      <c r="E11" s="6">
        <v>2</v>
      </c>
      <c r="F11" s="6">
        <v>12</v>
      </c>
      <c r="G11" s="8">
        <v>100</v>
      </c>
      <c r="H11" s="5"/>
    </row>
    <row r="12" spans="1:8" ht="21" customHeight="1" x14ac:dyDescent="0.2">
      <c r="A12" s="1"/>
      <c r="B12" s="1" t="s">
        <v>16</v>
      </c>
      <c r="C12" s="5" t="s">
        <v>17</v>
      </c>
      <c r="D12" s="6">
        <v>1</v>
      </c>
      <c r="E12" s="6">
        <v>4</v>
      </c>
      <c r="F12" s="6">
        <v>1</v>
      </c>
      <c r="G12" s="7">
        <v>100</v>
      </c>
      <c r="H12" s="5"/>
    </row>
    <row r="13" spans="1:8" ht="21" customHeight="1" x14ac:dyDescent="0.2">
      <c r="A13" s="1"/>
      <c r="B13" s="1" t="s">
        <v>18</v>
      </c>
      <c r="C13" s="5" t="s">
        <v>17</v>
      </c>
      <c r="D13" s="6">
        <v>0.5</v>
      </c>
      <c r="E13" s="6">
        <v>6</v>
      </c>
      <c r="F13" s="6">
        <v>0.5</v>
      </c>
      <c r="G13" s="7">
        <v>100</v>
      </c>
      <c r="H13" s="5"/>
    </row>
    <row r="14" spans="1:8" ht="21" customHeight="1" x14ac:dyDescent="0.2">
      <c r="A14" s="1"/>
      <c r="B14" s="1" t="s">
        <v>19</v>
      </c>
      <c r="C14" s="5" t="s">
        <v>17</v>
      </c>
      <c r="D14" s="6">
        <v>0.5</v>
      </c>
      <c r="E14" s="6">
        <v>4</v>
      </c>
      <c r="F14" s="6">
        <v>0.6</v>
      </c>
      <c r="G14" s="7">
        <v>100</v>
      </c>
      <c r="H14" s="5"/>
    </row>
    <row r="15" spans="1:8" ht="21" customHeight="1" x14ac:dyDescent="0.2">
      <c r="A15" s="1"/>
      <c r="B15" s="1"/>
      <c r="C15" s="5"/>
      <c r="D15" s="5"/>
      <c r="E15" s="5"/>
      <c r="F15" s="5"/>
      <c r="G15" s="5"/>
      <c r="H15" s="5"/>
    </row>
    <row r="16" spans="1:8" ht="21" customHeight="1" x14ac:dyDescent="0.2">
      <c r="A16" s="1"/>
      <c r="B16" s="1" t="s">
        <v>20</v>
      </c>
      <c r="C16" s="6">
        <v>100</v>
      </c>
      <c r="D16" s="5"/>
      <c r="E16" s="5"/>
      <c r="F16" s="5"/>
      <c r="G16" s="5"/>
      <c r="H16" s="5"/>
    </row>
    <row r="17" spans="1:8" ht="21" customHeight="1" x14ac:dyDescent="0.2">
      <c r="A17" s="1"/>
      <c r="B17" s="1"/>
      <c r="C17" s="5"/>
      <c r="D17" s="5"/>
      <c r="E17" s="5"/>
      <c r="F17" s="5"/>
      <c r="G17" s="5"/>
      <c r="H17" s="5"/>
    </row>
    <row r="18" spans="1:8" ht="21" customHeight="1" x14ac:dyDescent="0.2">
      <c r="A18" s="1"/>
      <c r="B18" s="3" t="s">
        <v>21</v>
      </c>
      <c r="C18" s="9"/>
      <c r="D18" s="9"/>
      <c r="E18" s="9"/>
      <c r="F18" s="9"/>
      <c r="G18" s="9"/>
      <c r="H18" s="9"/>
    </row>
    <row r="19" spans="1:8" ht="21" customHeight="1" x14ac:dyDescent="0.2">
      <c r="A19" s="1"/>
      <c r="B19" s="1"/>
      <c r="C19" s="5"/>
      <c r="D19" s="5"/>
      <c r="E19" s="5"/>
      <c r="F19" s="5"/>
      <c r="G19" s="5"/>
      <c r="H19" s="5"/>
    </row>
    <row r="20" spans="1:8" ht="21" customHeight="1" x14ac:dyDescent="0.2">
      <c r="A20" s="1"/>
      <c r="B20" s="2" t="s">
        <v>2</v>
      </c>
      <c r="C20" s="10" t="s">
        <v>22</v>
      </c>
      <c r="D20" s="10" t="s">
        <v>23</v>
      </c>
      <c r="E20" s="10" t="s">
        <v>24</v>
      </c>
      <c r="F20" s="10" t="s">
        <v>25</v>
      </c>
      <c r="G20" s="10" t="s">
        <v>26</v>
      </c>
      <c r="H20" s="10" t="s">
        <v>27</v>
      </c>
    </row>
    <row r="21" spans="1:8" ht="21" customHeight="1" x14ac:dyDescent="0.2">
      <c r="A21" s="1"/>
      <c r="B21" s="1" t="s">
        <v>7</v>
      </c>
      <c r="C21" s="11">
        <v>1</v>
      </c>
      <c r="D21" s="11">
        <v>4</v>
      </c>
      <c r="E21" s="7">
        <f t="shared" ref="E21:E30" si="0">E5*C21</f>
        <v>4</v>
      </c>
      <c r="F21" s="7">
        <f t="shared" ref="F21:F30" si="1">G5*C21</f>
        <v>100</v>
      </c>
      <c r="G21" s="7">
        <f t="shared" ref="G21:G30" si="2">D5*D21</f>
        <v>16</v>
      </c>
      <c r="H21" s="7">
        <f t="shared" ref="H21:H30" si="3">F5*D21</f>
        <v>40</v>
      </c>
    </row>
    <row r="22" spans="1:8" ht="21" customHeight="1" x14ac:dyDescent="0.2">
      <c r="A22" s="1"/>
      <c r="B22" s="1" t="s">
        <v>9</v>
      </c>
      <c r="C22" s="11">
        <v>1</v>
      </c>
      <c r="D22" s="11">
        <v>39</v>
      </c>
      <c r="E22" s="7">
        <f t="shared" si="0"/>
        <v>6</v>
      </c>
      <c r="F22" s="7">
        <f t="shared" si="1"/>
        <v>100</v>
      </c>
      <c r="G22" s="7">
        <f t="shared" si="2"/>
        <v>78</v>
      </c>
      <c r="H22" s="7">
        <f t="shared" si="3"/>
        <v>195</v>
      </c>
    </row>
    <row r="23" spans="1:8" ht="21" customHeight="1" x14ac:dyDescent="0.2">
      <c r="A23" s="1"/>
      <c r="B23" s="1" t="s">
        <v>10</v>
      </c>
      <c r="C23" s="11">
        <v>0</v>
      </c>
      <c r="D23" s="11">
        <v>0</v>
      </c>
      <c r="E23" s="7">
        <f t="shared" si="0"/>
        <v>0</v>
      </c>
      <c r="F23" s="7">
        <f t="shared" si="1"/>
        <v>0</v>
      </c>
      <c r="G23" s="7">
        <f t="shared" si="2"/>
        <v>0</v>
      </c>
      <c r="H23" s="7">
        <f t="shared" si="3"/>
        <v>0</v>
      </c>
    </row>
    <row r="24" spans="1:8" ht="21" customHeight="1" x14ac:dyDescent="0.2">
      <c r="A24" s="1"/>
      <c r="B24" s="1" t="s">
        <v>11</v>
      </c>
      <c r="C24" s="11">
        <v>0</v>
      </c>
      <c r="D24" s="11">
        <v>0</v>
      </c>
      <c r="E24" s="7">
        <f t="shared" si="0"/>
        <v>0</v>
      </c>
      <c r="F24" s="7">
        <f t="shared" si="1"/>
        <v>0</v>
      </c>
      <c r="G24" s="7">
        <f t="shared" si="2"/>
        <v>0</v>
      </c>
      <c r="H24" s="7">
        <f t="shared" si="3"/>
        <v>0</v>
      </c>
    </row>
    <row r="25" spans="1:8" ht="21" customHeight="1" x14ac:dyDescent="0.2">
      <c r="A25" s="1"/>
      <c r="B25" s="1" t="s">
        <v>12</v>
      </c>
      <c r="C25" s="11">
        <v>0</v>
      </c>
      <c r="D25" s="11">
        <v>0</v>
      </c>
      <c r="E25" s="7">
        <f t="shared" si="0"/>
        <v>0</v>
      </c>
      <c r="F25" s="7">
        <f t="shared" si="1"/>
        <v>0</v>
      </c>
      <c r="G25" s="7">
        <f t="shared" si="2"/>
        <v>0</v>
      </c>
      <c r="H25" s="7">
        <f t="shared" si="3"/>
        <v>0</v>
      </c>
    </row>
    <row r="26" spans="1:8" ht="21" customHeight="1" x14ac:dyDescent="0.2">
      <c r="A26" s="1"/>
      <c r="B26" s="1" t="s">
        <v>14</v>
      </c>
      <c r="C26" s="11">
        <v>0</v>
      </c>
      <c r="D26" s="11">
        <v>0</v>
      </c>
      <c r="E26" s="7">
        <f t="shared" si="0"/>
        <v>0</v>
      </c>
      <c r="F26" s="7">
        <f t="shared" si="1"/>
        <v>0</v>
      </c>
      <c r="G26" s="7">
        <f t="shared" si="2"/>
        <v>0</v>
      </c>
      <c r="H26" s="7">
        <f t="shared" si="3"/>
        <v>0</v>
      </c>
    </row>
    <row r="27" spans="1:8" ht="21" customHeight="1" x14ac:dyDescent="0.2">
      <c r="A27" s="1"/>
      <c r="B27" s="1" t="s">
        <v>15</v>
      </c>
      <c r="C27" s="11">
        <v>0</v>
      </c>
      <c r="D27" s="11">
        <v>0</v>
      </c>
      <c r="E27" s="7">
        <f t="shared" si="0"/>
        <v>0</v>
      </c>
      <c r="F27" s="7">
        <f t="shared" si="1"/>
        <v>0</v>
      </c>
      <c r="G27" s="7">
        <f t="shared" si="2"/>
        <v>0</v>
      </c>
      <c r="H27" s="7">
        <f t="shared" si="3"/>
        <v>0</v>
      </c>
    </row>
    <row r="28" spans="1:8" ht="21" customHeight="1" x14ac:dyDescent="0.2">
      <c r="A28" s="1"/>
      <c r="B28" s="1" t="s">
        <v>16</v>
      </c>
      <c r="C28" s="11">
        <v>0</v>
      </c>
      <c r="D28" s="11">
        <v>0</v>
      </c>
      <c r="E28" s="7">
        <f t="shared" si="0"/>
        <v>0</v>
      </c>
      <c r="F28" s="7">
        <f t="shared" si="1"/>
        <v>0</v>
      </c>
      <c r="G28" s="7">
        <f t="shared" si="2"/>
        <v>0</v>
      </c>
      <c r="H28" s="7">
        <f t="shared" si="3"/>
        <v>0</v>
      </c>
    </row>
    <row r="29" spans="1:8" ht="21" customHeight="1" x14ac:dyDescent="0.2">
      <c r="A29" s="1"/>
      <c r="B29" s="1" t="s">
        <v>18</v>
      </c>
      <c r="C29" s="11">
        <v>1</v>
      </c>
      <c r="D29" s="11">
        <v>6</v>
      </c>
      <c r="E29" s="7">
        <f t="shared" si="0"/>
        <v>6</v>
      </c>
      <c r="F29" s="7">
        <f t="shared" si="1"/>
        <v>100</v>
      </c>
      <c r="G29" s="7">
        <f t="shared" si="2"/>
        <v>3</v>
      </c>
      <c r="H29" s="7">
        <f t="shared" si="3"/>
        <v>3</v>
      </c>
    </row>
    <row r="30" spans="1:8" ht="21" customHeight="1" x14ac:dyDescent="0.2">
      <c r="A30" s="1"/>
      <c r="B30" s="1" t="s">
        <v>19</v>
      </c>
      <c r="C30" s="11">
        <v>1</v>
      </c>
      <c r="D30" s="11">
        <v>6</v>
      </c>
      <c r="E30" s="7">
        <f t="shared" si="0"/>
        <v>4</v>
      </c>
      <c r="F30" s="7">
        <f t="shared" si="1"/>
        <v>100</v>
      </c>
      <c r="G30" s="7">
        <f t="shared" si="2"/>
        <v>3</v>
      </c>
      <c r="H30" s="7">
        <f t="shared" si="3"/>
        <v>3.5999999999999996</v>
      </c>
    </row>
    <row r="31" spans="1:8" ht="21" customHeight="1" x14ac:dyDescent="0.2">
      <c r="A31" s="1"/>
      <c r="B31" s="1"/>
      <c r="C31" s="5"/>
      <c r="D31" s="5"/>
      <c r="E31" s="5"/>
      <c r="F31" s="5"/>
      <c r="G31" s="5"/>
      <c r="H31" s="5"/>
    </row>
    <row r="32" spans="1:8" ht="21" customHeight="1" x14ac:dyDescent="0.2">
      <c r="A32" s="1"/>
      <c r="B32" s="3" t="s">
        <v>28</v>
      </c>
      <c r="C32" s="9"/>
      <c r="D32" s="9"/>
      <c r="E32" s="9"/>
      <c r="F32" s="9"/>
      <c r="G32" s="9"/>
      <c r="H32" s="9"/>
    </row>
    <row r="33" spans="1:8" ht="21" customHeight="1" x14ac:dyDescent="0.2">
      <c r="A33" s="1"/>
      <c r="B33" s="1" t="s">
        <v>29</v>
      </c>
      <c r="C33" s="12"/>
      <c r="D33" s="13">
        <f>SUM(H21:H30)</f>
        <v>241.6</v>
      </c>
      <c r="E33" s="5"/>
      <c r="F33" s="5"/>
      <c r="G33" s="5"/>
      <c r="H33" s="5"/>
    </row>
    <row r="34" spans="1:8" ht="21" customHeight="1" x14ac:dyDescent="0.2">
      <c r="A34" s="1"/>
      <c r="B34" s="1"/>
      <c r="C34" s="5"/>
      <c r="D34" s="5"/>
      <c r="E34" s="5"/>
      <c r="F34" s="5"/>
      <c r="G34" s="5"/>
      <c r="H34" s="5"/>
    </row>
    <row r="35" spans="1:8" ht="21" customHeight="1" x14ac:dyDescent="0.2">
      <c r="A35" s="1"/>
      <c r="B35" s="3" t="s">
        <v>30</v>
      </c>
      <c r="C35" s="9"/>
      <c r="D35" s="9"/>
      <c r="E35" s="9"/>
      <c r="F35" s="9"/>
      <c r="G35" s="9"/>
      <c r="H35" s="9"/>
    </row>
    <row r="36" spans="1:8" ht="21" customHeight="1" x14ac:dyDescent="0.2">
      <c r="A36" s="1"/>
      <c r="B36" s="2" t="s">
        <v>31</v>
      </c>
      <c r="C36" s="10" t="s">
        <v>32</v>
      </c>
      <c r="D36" s="10" t="s">
        <v>33</v>
      </c>
      <c r="E36" s="10" t="s">
        <v>34</v>
      </c>
      <c r="F36" s="10" t="s">
        <v>35</v>
      </c>
      <c r="G36" s="5"/>
      <c r="H36" s="5"/>
    </row>
    <row r="37" spans="1:8" ht="21" customHeight="1" x14ac:dyDescent="0.2">
      <c r="A37" s="1"/>
      <c r="B37" s="1" t="s">
        <v>36</v>
      </c>
      <c r="C37" s="7">
        <f>SUM(G21:G30)</f>
        <v>100</v>
      </c>
      <c r="D37" s="5" t="s">
        <v>37</v>
      </c>
      <c r="E37" s="7">
        <f>$C$16</f>
        <v>100</v>
      </c>
      <c r="F37" s="7">
        <f>E37-C37</f>
        <v>0</v>
      </c>
      <c r="G37" s="5"/>
      <c r="H37" s="5"/>
    </row>
    <row r="38" spans="1:8" ht="21" customHeight="1" x14ac:dyDescent="0.2">
      <c r="A38" s="1"/>
      <c r="B38" s="1" t="s">
        <v>38</v>
      </c>
      <c r="C38" s="7">
        <f>SUM(C21:C30)</f>
        <v>4</v>
      </c>
      <c r="D38" s="5" t="s">
        <v>39</v>
      </c>
      <c r="E38" s="5">
        <f>4</f>
        <v>4</v>
      </c>
      <c r="F38" s="7">
        <f>C38-E38</f>
        <v>0</v>
      </c>
      <c r="G38" s="5"/>
      <c r="H38" s="5"/>
    </row>
    <row r="39" spans="1:8" ht="21" customHeight="1" x14ac:dyDescent="0.2">
      <c r="A39" s="1"/>
      <c r="B39" s="1" t="s">
        <v>47</v>
      </c>
      <c r="C39" s="7">
        <f>3*SUM(C21:C27)-SUM(C28:C30)</f>
        <v>4</v>
      </c>
      <c r="D39" s="5" t="s">
        <v>39</v>
      </c>
      <c r="E39" s="5">
        <f>0</f>
        <v>0</v>
      </c>
      <c r="F39" s="7">
        <f>C39-E39</f>
        <v>4</v>
      </c>
      <c r="G39" s="5"/>
      <c r="H39" s="5"/>
    </row>
    <row r="40" spans="1:8" ht="21" customHeight="1" x14ac:dyDescent="0.2">
      <c r="A40" s="1"/>
      <c r="B40" s="1" t="s">
        <v>40</v>
      </c>
      <c r="C40" s="7">
        <f>SUM(C28:C30)-2*C21</f>
        <v>0</v>
      </c>
      <c r="D40" s="5" t="s">
        <v>39</v>
      </c>
      <c r="E40" s="7">
        <f>0</f>
        <v>0</v>
      </c>
      <c r="F40" s="7">
        <f>C40-E40</f>
        <v>0</v>
      </c>
      <c r="G40" s="5"/>
      <c r="H40" s="5"/>
    </row>
    <row r="41" spans="1:8" ht="21" customHeight="1" x14ac:dyDescent="0.2">
      <c r="A41" s="1"/>
      <c r="B41" s="1" t="s">
        <v>41</v>
      </c>
      <c r="C41" s="7">
        <f>C21+C22+C27</f>
        <v>2</v>
      </c>
      <c r="D41" s="5" t="s">
        <v>39</v>
      </c>
      <c r="E41" s="5">
        <f>2</f>
        <v>2</v>
      </c>
      <c r="F41" s="7">
        <f>C41-E41</f>
        <v>0</v>
      </c>
      <c r="G41" s="5"/>
      <c r="H41" s="5"/>
    </row>
    <row r="42" spans="1:8" ht="21" customHeight="1" x14ac:dyDescent="0.2">
      <c r="A42" s="1"/>
      <c r="B42" s="1" t="s">
        <v>42</v>
      </c>
      <c r="C42" s="7">
        <f>C21+C27</f>
        <v>1</v>
      </c>
      <c r="D42" s="5" t="s">
        <v>37</v>
      </c>
      <c r="E42" s="5">
        <f>1</f>
        <v>1</v>
      </c>
      <c r="F42" s="7">
        <f>E42-C42</f>
        <v>0</v>
      </c>
      <c r="G42" s="5"/>
      <c r="H42" s="5"/>
    </row>
    <row r="43" spans="1:8" ht="21" customHeight="1" x14ac:dyDescent="0.2">
      <c r="A43" s="1"/>
      <c r="B43" s="1" t="s">
        <v>43</v>
      </c>
      <c r="C43" s="7">
        <f>D21-$C$16*C24</f>
        <v>4</v>
      </c>
      <c r="D43" s="5" t="s">
        <v>37</v>
      </c>
      <c r="E43" s="7">
        <f>30</f>
        <v>30</v>
      </c>
      <c r="F43" s="7">
        <f>E43-C43</f>
        <v>26</v>
      </c>
      <c r="G43" s="5"/>
      <c r="H43" s="5"/>
    </row>
    <row r="44" spans="1:8" ht="21" customHeight="1" x14ac:dyDescent="0.2">
      <c r="A44" s="1"/>
      <c r="B44" s="1"/>
      <c r="C44" s="7"/>
      <c r="D44" s="5"/>
      <c r="E44" s="7"/>
      <c r="F44" s="7"/>
      <c r="G44" s="5"/>
      <c r="H44" s="5"/>
    </row>
    <row r="45" spans="1:8" ht="21" customHeight="1" x14ac:dyDescent="0.2">
      <c r="A45" s="1"/>
      <c r="B45" s="1" t="s">
        <v>44</v>
      </c>
      <c r="C45" s="7"/>
      <c r="D45" s="5"/>
      <c r="E45" s="7"/>
      <c r="F45" s="7"/>
      <c r="G45" s="5"/>
      <c r="H45" s="5"/>
    </row>
    <row r="46" spans="1:8" ht="21" customHeight="1" x14ac:dyDescent="0.2">
      <c r="A46" s="1"/>
      <c r="B46" s="1" t="s">
        <v>45</v>
      </c>
      <c r="C46" s="7"/>
      <c r="D46" s="5"/>
      <c r="E46" s="7"/>
      <c r="F46" s="7"/>
      <c r="G46" s="5"/>
      <c r="H46" s="5"/>
    </row>
    <row r="47" spans="1:8" ht="21" customHeight="1" x14ac:dyDescent="0.2">
      <c r="A47" s="1"/>
      <c r="B47" s="1" t="s">
        <v>48</v>
      </c>
      <c r="C47" s="7"/>
      <c r="D47" s="5"/>
      <c r="E47" s="7"/>
      <c r="F47" s="7"/>
      <c r="G47" s="5"/>
      <c r="H47" s="5"/>
    </row>
    <row r="48" spans="1:8" ht="21" customHeight="1" x14ac:dyDescent="0.2">
      <c r="A48" s="1"/>
      <c r="B48" s="1" t="s">
        <v>49</v>
      </c>
      <c r="C48" s="1"/>
      <c r="D48" s="1"/>
      <c r="E48" s="1"/>
      <c r="F48" s="1"/>
      <c r="G48" s="1"/>
      <c r="H48" s="1"/>
    </row>
    <row r="49" spans="1:8" ht="21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21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21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21" customHeight="1" x14ac:dyDescent="0.2">
      <c r="A52" s="1"/>
      <c r="B52" s="1"/>
      <c r="C52" s="1"/>
      <c r="D52" s="1"/>
      <c r="E52" s="1"/>
      <c r="F52" s="1"/>
      <c r="G52" s="1"/>
      <c r="H52" s="1"/>
    </row>
  </sheetData>
  <mergeCells count="5">
    <mergeCell ref="B2:H2"/>
    <mergeCell ref="B32:H32"/>
    <mergeCell ref="B18:H18"/>
    <mergeCell ref="B1:H1"/>
    <mergeCell ref="B35:H35"/>
  </mergeCells>
  <printOptions horizontalCentered="1"/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Harvest</vt:lpstr>
      <vt:lpstr>Harvest!Print_Area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Escallon Barrios</dc:creator>
  <cp:lastModifiedBy>Mahir Nagersheth</cp:lastModifiedBy>
  <dcterms:created xsi:type="dcterms:W3CDTF">2026-09-21T14:58:58Z</dcterms:created>
  <dcterms:modified xsi:type="dcterms:W3CDTF">2026-09-27T00:53:35Z</dcterms:modified>
</cp:coreProperties>
</file>