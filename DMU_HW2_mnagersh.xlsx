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mahir/Downloads/DMU/"/>
    </mc:Choice>
  </mc:AlternateContent>
  <xr:revisionPtr revIDLastSave="0" documentId="13_ncr:1_{7D364559-F0EE-EF42-9E71-FCD1DC82D2FD}" xr6:coauthVersionLast="47" xr6:coauthVersionMax="47" xr10:uidLastSave="{00000000-0000-0000-0000-000000000000}"/>
  <bookViews>
    <workbookView xWindow="4380" yWindow="580" windowWidth="24420" windowHeight="16380" xr2:uid="{00000000-000D-0000-FFFF-FFFF00000000}"/>
  </bookViews>
  <sheets>
    <sheet name="P1 Lunch" sheetId="2" r:id="rId1"/>
    <sheet name="P1 Sensitivity" sheetId="3" r:id="rId2"/>
    <sheet name="P1 Demand" sheetId="4" r:id="rId3"/>
    <sheet name="P2" sheetId="5" r:id="rId4"/>
    <sheet name="P3 Base" sheetId="6" r:id="rId5"/>
    <sheet name="P3 Pittsburgh" sheetId="7" r:id="rId6"/>
    <sheet name="P3 Cleveland" sheetId="8" r:id="rId7"/>
    <sheet name="P3 Columbus" sheetId="9" r:id="rId8"/>
    <sheet name="P4 Mentoring" sheetId="10" r:id="rId9"/>
  </sheets>
  <definedNames>
    <definedName name="_xlnm.Print_Area" localSheetId="2">'P1 Demand'!$A$1:$H$38</definedName>
    <definedName name="_xlnm.Print_Area" localSheetId="0">'P1 Lunch'!$A$1:$H$49</definedName>
    <definedName name="_xlnm.Print_Area" localSheetId="1">'P1 Sensitivity'!$A$1:$H$25</definedName>
    <definedName name="_xlnm.Print_Area" localSheetId="4">'P3 Base'!$A$1:$L$58</definedName>
    <definedName name="_xlnm.Print_Area" localSheetId="6">'P3 Cleveland'!$A$1:$L$58</definedName>
    <definedName name="_xlnm.Print_Area" localSheetId="7">'P3 Columbus'!$A$1:$L$58</definedName>
    <definedName name="_xlnm.Print_Area" localSheetId="5">'P3 Pittsburgh'!$A$1:$L$58</definedName>
    <definedName name="_xlnm.Print_Area" localSheetId="8">'P4 Mentoring'!$A$1:$J$45</definedName>
    <definedName name="solver_adj" localSheetId="0" hidden="1">'P1 Lunch'!$B$10:$D$10</definedName>
    <definedName name="solver_adj" localSheetId="4" hidden="1">'P3 Base'!$D$6:$F$14</definedName>
    <definedName name="solver_adj" localSheetId="6" hidden="1">'P3 Cleveland'!$D$6:$F$14</definedName>
    <definedName name="solver_adj" localSheetId="7" hidden="1">'P3 Columbus'!$D$6:$F$14</definedName>
    <definedName name="solver_adj" localSheetId="5" hidden="1">'P3 Pittsburgh'!$D$6:$F$14</definedName>
    <definedName name="solver_adj" localSheetId="8" hidden="1">'P4 Mentoring'!$B$15:$G$20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ng" localSheetId="4" hidden="1">2</definedName>
    <definedName name="solver_eng" localSheetId="6" hidden="1">2</definedName>
    <definedName name="solver_eng" localSheetId="7" hidden="1">2</definedName>
    <definedName name="solver_eng" localSheetId="5" hidden="1">2</definedName>
    <definedName name="solver_eng" localSheetId="8" hidden="1">2</definedName>
    <definedName name="solver_itr" localSheetId="0" hidden="1">2147483647</definedName>
    <definedName name="solver_lhs1" localSheetId="0" hidden="1">'P1 Lunch'!$B$15:$B$16</definedName>
    <definedName name="solver_lhs1" localSheetId="4" hidden="1">'P3 Base'!$D$33:$D$41</definedName>
    <definedName name="solver_lhs1" localSheetId="6" hidden="1">'P3 Cleveland'!$D$33:$D$41</definedName>
    <definedName name="solver_lhs1" localSheetId="7" hidden="1">'P3 Columbus'!$D$33:$D$41</definedName>
    <definedName name="solver_lhs1" localSheetId="5" hidden="1">'P3 Pittsburgh'!$D$33:$D$41</definedName>
    <definedName name="solver_lhs1" localSheetId="8" hidden="1">'P4 Mentoring'!$B$15:$G$20</definedName>
    <definedName name="solver_lhs2" localSheetId="0" hidden="1">'P1 Lunch'!$B$17:$B$20</definedName>
    <definedName name="solver_lhs2" localSheetId="4" hidden="1">'P3 Base'!$D$6:$F$14</definedName>
    <definedName name="solver_lhs2" localSheetId="6" hidden="1">'P3 Cleveland'!$D$6:$F$14</definedName>
    <definedName name="solver_lhs2" localSheetId="7" hidden="1">'P3 Columbus'!$D$6:$F$14</definedName>
    <definedName name="solver_lhs2" localSheetId="5" hidden="1">'P3 Pittsburgh'!$D$6:$F$14</definedName>
    <definedName name="solver_lhs2" localSheetId="8" hidden="1">'P4 Mentoring'!$B$15:$G$20</definedName>
    <definedName name="solver_lhs3" localSheetId="4" hidden="1">'P3 Base'!$E$19:$E$30</definedName>
    <definedName name="solver_lhs3" localSheetId="6" hidden="1">'P3 Cleveland'!$E$19:$E$30</definedName>
    <definedName name="solver_lhs3" localSheetId="7" hidden="1">'P3 Columbus'!$E$19:$E$30</definedName>
    <definedName name="solver_lhs3" localSheetId="5" hidden="1">'P3 Pittsburgh'!$E$19:$E$30</definedName>
    <definedName name="solver_lhs3" localSheetId="8" hidden="1">'P4 Mentoring'!$B$22:$G$22</definedName>
    <definedName name="solver_lhs4" localSheetId="4" hidden="1">'P3 Base'!$G$6:$G$14</definedName>
    <definedName name="solver_lhs4" localSheetId="6" hidden="1">'P3 Cleveland'!$G$6:$G$14</definedName>
    <definedName name="solver_lhs4" localSheetId="7" hidden="1">'P3 Columbus'!$G$6:$G$14</definedName>
    <definedName name="solver_lhs4" localSheetId="5" hidden="1">'P3 Pittsburgh'!$G$6:$G$14</definedName>
    <definedName name="solver_lhs4" localSheetId="8" hidden="1">'P4 Mentoring'!$H$15:$H$20</definedName>
    <definedName name="solver_lin" localSheetId="0" hidden="1">1</definedName>
    <definedName name="solver_lin" localSheetId="4" hidden="1">1</definedName>
    <definedName name="solver_lin" localSheetId="6" hidden="1">1</definedName>
    <definedName name="solver_lin" localSheetId="7" hidden="1">1</definedName>
    <definedName name="solver_lin" localSheetId="5" hidden="1">1</definedName>
    <definedName name="solver_lin" localSheetId="8" hidden="1">1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eg" localSheetId="4" hidden="1">1</definedName>
    <definedName name="solver_neg" localSheetId="6" hidden="1">1</definedName>
    <definedName name="solver_neg" localSheetId="7" hidden="1">1</definedName>
    <definedName name="solver_neg" localSheetId="5" hidden="1">1</definedName>
    <definedName name="solver_neg" localSheetId="8" hidden="1">1</definedName>
    <definedName name="solver_nod" localSheetId="0" hidden="1">2147483647</definedName>
    <definedName name="solver_num" localSheetId="0" hidden="1">2</definedName>
    <definedName name="solver_num" localSheetId="4" hidden="1">4</definedName>
    <definedName name="solver_num" localSheetId="6" hidden="1">4</definedName>
    <definedName name="solver_num" localSheetId="7" hidden="1">4</definedName>
    <definedName name="solver_num" localSheetId="5" hidden="1">4</definedName>
    <definedName name="solver_num" localSheetId="8" hidden="1">4</definedName>
    <definedName name="solver_opt" localSheetId="0" hidden="1">'P1 Lunch'!$B$12</definedName>
    <definedName name="solver_opt" localSheetId="4" hidden="1">'P3 Base'!$B$16</definedName>
    <definedName name="solver_opt" localSheetId="6" hidden="1">'P3 Cleveland'!$B$16</definedName>
    <definedName name="solver_opt" localSheetId="7" hidden="1">'P3 Columbus'!$B$16</definedName>
    <definedName name="solver_opt" localSheetId="5" hidden="1">'P3 Pittsburgh'!$B$16</definedName>
    <definedName name="solver_opt" localSheetId="8" hidden="1">'P4 Mentoring'!$B$33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1" localSheetId="4" hidden="1">1</definedName>
    <definedName name="solver_rel1" localSheetId="6" hidden="1">1</definedName>
    <definedName name="solver_rel1" localSheetId="7" hidden="1">1</definedName>
    <definedName name="solver_rel1" localSheetId="5" hidden="1">1</definedName>
    <definedName name="solver_rel1" localSheetId="8" hidden="1">1</definedName>
    <definedName name="solver_rel2" localSheetId="0" hidden="1">3</definedName>
    <definedName name="solver_rel2" localSheetId="4" hidden="1">3</definedName>
    <definedName name="solver_rel2" localSheetId="6" hidden="1">3</definedName>
    <definedName name="solver_rel2" localSheetId="7" hidden="1">3</definedName>
    <definedName name="solver_rel2" localSheetId="5" hidden="1">3</definedName>
    <definedName name="solver_rel2" localSheetId="8" hidden="1">3</definedName>
    <definedName name="solver_rel3" localSheetId="4" hidden="1">1</definedName>
    <definedName name="solver_rel3" localSheetId="6" hidden="1">1</definedName>
    <definedName name="solver_rel3" localSheetId="7" hidden="1">1</definedName>
    <definedName name="solver_rel3" localSheetId="5" hidden="1">1</definedName>
    <definedName name="solver_rel3" localSheetId="8" hidden="1">2</definedName>
    <definedName name="solver_rel4" localSheetId="4" hidden="1">2</definedName>
    <definedName name="solver_rel4" localSheetId="6" hidden="1">2</definedName>
    <definedName name="solver_rel4" localSheetId="7" hidden="1">2</definedName>
    <definedName name="solver_rel4" localSheetId="5" hidden="1">2</definedName>
    <definedName name="solver_rel4" localSheetId="8" hidden="1">1</definedName>
    <definedName name="solver_rhs1" localSheetId="0" hidden="1">'P1 Lunch'!$D$15:$D$16</definedName>
    <definedName name="solver_rhs1" localSheetId="4" hidden="1">'P3 Base'!$C$33:$C$41</definedName>
    <definedName name="solver_rhs1" localSheetId="6" hidden="1">'P3 Cleveland'!$C$33:$C$41</definedName>
    <definedName name="solver_rhs1" localSheetId="7" hidden="1">'P3 Columbus'!$C$33:$C$41</definedName>
    <definedName name="solver_rhs1" localSheetId="5" hidden="1">'P3 Pittsburgh'!$C$33:$C$41</definedName>
    <definedName name="solver_rhs1" localSheetId="8" hidden="1">'P4 Mentoring'!$B$26:$G$31</definedName>
    <definedName name="solver_rhs2" localSheetId="0" hidden="1">'P1 Lunch'!$D$17:$D$20</definedName>
    <definedName name="solver_rhs2" localSheetId="4" hidden="1">0</definedName>
    <definedName name="solver_rhs2" localSheetId="6" hidden="1">0</definedName>
    <definedName name="solver_rhs2" localSheetId="7" hidden="1">0</definedName>
    <definedName name="solver_rhs2" localSheetId="5" hidden="1">0</definedName>
    <definedName name="solver_rhs2" localSheetId="8" hidden="1">0</definedName>
    <definedName name="solver_rhs3" localSheetId="4" hidden="1">'P3 Base'!$C$19:$C$30</definedName>
    <definedName name="solver_rhs3" localSheetId="6" hidden="1">'P3 Cleveland'!$C$19:$C$30</definedName>
    <definedName name="solver_rhs3" localSheetId="7" hidden="1">'P3 Columbus'!$C$19:$C$30</definedName>
    <definedName name="solver_rhs3" localSheetId="5" hidden="1">'P3 Pittsburgh'!$C$19:$C$30</definedName>
    <definedName name="solver_rhs3" localSheetId="8" hidden="1">'P4 Mentoring'!$B$23:$G$23</definedName>
    <definedName name="solver_rhs4" localSheetId="4" hidden="1">'P3 Base'!$C$6:$C$14</definedName>
    <definedName name="solver_rhs4" localSheetId="6" hidden="1">'P3 Cleveland'!$C$6:$C$14</definedName>
    <definedName name="solver_rhs4" localSheetId="7" hidden="1">'P3 Columbus'!$C$6:$C$14</definedName>
    <definedName name="solver_rhs4" localSheetId="5" hidden="1">'P3 Pittsburgh'!$C$6:$C$14</definedName>
    <definedName name="solver_rhs4" localSheetId="8" hidden="1">'P4 Mentoring'!$I$15:$I$20</definedName>
    <definedName name="solver_rlx" localSheetId="0" hidden="1">1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typ" localSheetId="4" hidden="1">2</definedName>
    <definedName name="solver_typ" localSheetId="6" hidden="1">2</definedName>
    <definedName name="solver_typ" localSheetId="7" hidden="1">2</definedName>
    <definedName name="solver_typ" localSheetId="5" hidden="1">2</definedName>
    <definedName name="solver_typ" localSheetId="8" hidden="1">1</definedName>
    <definedName name="solver_val" localSheetId="0" hidden="1">0</definedName>
    <definedName name="solver_val" localSheetId="4" hidden="1">0</definedName>
    <definedName name="solver_val" localSheetId="6" hidden="1">0</definedName>
    <definedName name="solver_val" localSheetId="7" hidden="1">0</definedName>
    <definedName name="solver_val" localSheetId="5" hidden="1">0</definedName>
    <definedName name="solver_val" localSheetId="8" hidden="1">0</definedName>
    <definedName name="solver_ver" localSheetId="0" hidden="1">2</definedName>
    <definedName name="solver_ver" localSheetId="4" hidden="1">2</definedName>
    <definedName name="solver_ver" localSheetId="6" hidden="1">2</definedName>
    <definedName name="solver_ver" localSheetId="7" hidden="1">2</definedName>
    <definedName name="solver_ver" localSheetId="5" hidden="1">2</definedName>
    <definedName name="solver_ver" localSheetId="8" hidden="1">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10" l="1"/>
  <c r="G22" i="10"/>
  <c r="F22" i="10"/>
  <c r="E22" i="10"/>
  <c r="D22" i="10"/>
  <c r="C22" i="10"/>
  <c r="B22" i="10"/>
  <c r="H20" i="10"/>
  <c r="H19" i="10"/>
  <c r="H18" i="10"/>
  <c r="H17" i="10"/>
  <c r="H16" i="10"/>
  <c r="H15" i="10"/>
  <c r="D41" i="9"/>
  <c r="E41" i="9" s="1"/>
  <c r="D40" i="9"/>
  <c r="E40" i="9" s="1"/>
  <c r="D39" i="9"/>
  <c r="E39" i="9" s="1"/>
  <c r="D38" i="9"/>
  <c r="E38" i="9" s="1"/>
  <c r="D37" i="9"/>
  <c r="E37" i="9" s="1"/>
  <c r="D36" i="9"/>
  <c r="E36" i="9" s="1"/>
  <c r="D35" i="9"/>
  <c r="E35" i="9" s="1"/>
  <c r="D34" i="9"/>
  <c r="E34" i="9" s="1"/>
  <c r="D33" i="9"/>
  <c r="E33" i="9" s="1"/>
  <c r="E30" i="9"/>
  <c r="F30" i="9" s="1"/>
  <c r="E29" i="9"/>
  <c r="F29" i="9" s="1"/>
  <c r="E28" i="9"/>
  <c r="F28" i="9" s="1"/>
  <c r="E27" i="9"/>
  <c r="F27" i="9" s="1"/>
  <c r="E26" i="9"/>
  <c r="F26" i="9" s="1"/>
  <c r="E25" i="9"/>
  <c r="F25" i="9" s="1"/>
  <c r="E24" i="9"/>
  <c r="F24" i="9" s="1"/>
  <c r="E23" i="9"/>
  <c r="F23" i="9" s="1"/>
  <c r="E22" i="9"/>
  <c r="F22" i="9" s="1"/>
  <c r="E21" i="9"/>
  <c r="F21" i="9" s="1"/>
  <c r="E20" i="9"/>
  <c r="F20" i="9" s="1"/>
  <c r="E19" i="9"/>
  <c r="F19" i="9" s="1"/>
  <c r="L14" i="9"/>
  <c r="J14" i="9"/>
  <c r="I14" i="9"/>
  <c r="G14" i="9"/>
  <c r="H14" i="9" s="1"/>
  <c r="J13" i="9"/>
  <c r="I13" i="9"/>
  <c r="L13" i="9" s="1"/>
  <c r="G13" i="9"/>
  <c r="H13" i="9" s="1"/>
  <c r="L12" i="9"/>
  <c r="J12" i="9"/>
  <c r="I12" i="9"/>
  <c r="G12" i="9"/>
  <c r="H12" i="9" s="1"/>
  <c r="J11" i="9"/>
  <c r="I11" i="9"/>
  <c r="L11" i="9" s="1"/>
  <c r="G11" i="9"/>
  <c r="H11" i="9" s="1"/>
  <c r="J10" i="9"/>
  <c r="I10" i="9"/>
  <c r="L10" i="9" s="1"/>
  <c r="G10" i="9"/>
  <c r="H10" i="9" s="1"/>
  <c r="J9" i="9"/>
  <c r="I9" i="9"/>
  <c r="G9" i="9"/>
  <c r="H9" i="9" s="1"/>
  <c r="J8" i="9"/>
  <c r="I8" i="9"/>
  <c r="L8" i="9" s="1"/>
  <c r="G8" i="9"/>
  <c r="H8" i="9" s="1"/>
  <c r="J7" i="9"/>
  <c r="I7" i="9"/>
  <c r="L7" i="9" s="1"/>
  <c r="H7" i="9"/>
  <c r="G7" i="9"/>
  <c r="J6" i="9"/>
  <c r="I6" i="9"/>
  <c r="L6" i="9" s="1"/>
  <c r="G6" i="9"/>
  <c r="H6" i="9" s="1"/>
  <c r="D41" i="8"/>
  <c r="E41" i="8" s="1"/>
  <c r="D40" i="8"/>
  <c r="E40" i="8" s="1"/>
  <c r="D39" i="8"/>
  <c r="E39" i="8" s="1"/>
  <c r="D38" i="8"/>
  <c r="E38" i="8" s="1"/>
  <c r="D37" i="8"/>
  <c r="E37" i="8" s="1"/>
  <c r="D36" i="8"/>
  <c r="E36" i="8" s="1"/>
  <c r="D35" i="8"/>
  <c r="E35" i="8" s="1"/>
  <c r="D34" i="8"/>
  <c r="E34" i="8" s="1"/>
  <c r="D33" i="8"/>
  <c r="E33" i="8" s="1"/>
  <c r="E30" i="8"/>
  <c r="F30" i="8" s="1"/>
  <c r="E29" i="8"/>
  <c r="F29" i="8" s="1"/>
  <c r="E28" i="8"/>
  <c r="F28" i="8" s="1"/>
  <c r="E27" i="8"/>
  <c r="F27" i="8" s="1"/>
  <c r="E26" i="8"/>
  <c r="F26" i="8" s="1"/>
  <c r="E25" i="8"/>
  <c r="F25" i="8" s="1"/>
  <c r="E24" i="8"/>
  <c r="F24" i="8" s="1"/>
  <c r="E23" i="8"/>
  <c r="F23" i="8" s="1"/>
  <c r="E22" i="8"/>
  <c r="F22" i="8" s="1"/>
  <c r="E21" i="8"/>
  <c r="F21" i="8" s="1"/>
  <c r="E20" i="8"/>
  <c r="F20" i="8" s="1"/>
  <c r="E19" i="8"/>
  <c r="F19" i="8" s="1"/>
  <c r="J14" i="8"/>
  <c r="I14" i="8"/>
  <c r="L14" i="8" s="1"/>
  <c r="G14" i="8"/>
  <c r="H14" i="8" s="1"/>
  <c r="J13" i="8"/>
  <c r="L13" i="8" s="1"/>
  <c r="I13" i="8"/>
  <c r="G13" i="8"/>
  <c r="H13" i="8" s="1"/>
  <c r="L12" i="8"/>
  <c r="J12" i="8"/>
  <c r="I12" i="8"/>
  <c r="G12" i="8"/>
  <c r="H12" i="8" s="1"/>
  <c r="J11" i="8"/>
  <c r="L11" i="8" s="1"/>
  <c r="I11" i="8"/>
  <c r="G11" i="8"/>
  <c r="H11" i="8" s="1"/>
  <c r="L10" i="8"/>
  <c r="J10" i="8"/>
  <c r="I10" i="8"/>
  <c r="G10" i="8"/>
  <c r="H10" i="8" s="1"/>
  <c r="J9" i="8"/>
  <c r="L9" i="8" s="1"/>
  <c r="I9" i="8"/>
  <c r="G9" i="8"/>
  <c r="H9" i="8" s="1"/>
  <c r="J8" i="8"/>
  <c r="L8" i="8" s="1"/>
  <c r="I8" i="8"/>
  <c r="G8" i="8"/>
  <c r="H8" i="8" s="1"/>
  <c r="J7" i="8"/>
  <c r="L7" i="8" s="1"/>
  <c r="I7" i="8"/>
  <c r="G7" i="8"/>
  <c r="H7" i="8" s="1"/>
  <c r="J6" i="8"/>
  <c r="I6" i="8"/>
  <c r="L6" i="8" s="1"/>
  <c r="G6" i="8"/>
  <c r="H6" i="8" s="1"/>
  <c r="D41" i="7"/>
  <c r="E41" i="7" s="1"/>
  <c r="D40" i="7"/>
  <c r="E40" i="7" s="1"/>
  <c r="D39" i="7"/>
  <c r="E39" i="7" s="1"/>
  <c r="D38" i="7"/>
  <c r="E38" i="7" s="1"/>
  <c r="D37" i="7"/>
  <c r="E37" i="7" s="1"/>
  <c r="D36" i="7"/>
  <c r="E36" i="7" s="1"/>
  <c r="D35" i="7"/>
  <c r="E35" i="7" s="1"/>
  <c r="D34" i="7"/>
  <c r="E34" i="7" s="1"/>
  <c r="D33" i="7"/>
  <c r="E33" i="7" s="1"/>
  <c r="E30" i="7"/>
  <c r="F30" i="7" s="1"/>
  <c r="E29" i="7"/>
  <c r="F29" i="7" s="1"/>
  <c r="E28" i="7"/>
  <c r="F28" i="7" s="1"/>
  <c r="E27" i="7"/>
  <c r="F27" i="7" s="1"/>
  <c r="E26" i="7"/>
  <c r="F26" i="7" s="1"/>
  <c r="E25" i="7"/>
  <c r="F25" i="7" s="1"/>
  <c r="E24" i="7"/>
  <c r="F24" i="7" s="1"/>
  <c r="E23" i="7"/>
  <c r="F23" i="7" s="1"/>
  <c r="E22" i="7"/>
  <c r="F22" i="7" s="1"/>
  <c r="E21" i="7"/>
  <c r="F21" i="7" s="1"/>
  <c r="E20" i="7"/>
  <c r="F20" i="7" s="1"/>
  <c r="E19" i="7"/>
  <c r="F19" i="7" s="1"/>
  <c r="J14" i="7"/>
  <c r="I14" i="7"/>
  <c r="L14" i="7" s="1"/>
  <c r="G14" i="7"/>
  <c r="H14" i="7" s="1"/>
  <c r="J13" i="7"/>
  <c r="I13" i="7"/>
  <c r="L13" i="7" s="1"/>
  <c r="G13" i="7"/>
  <c r="H13" i="7" s="1"/>
  <c r="J12" i="7"/>
  <c r="I12" i="7"/>
  <c r="L12" i="7" s="1"/>
  <c r="G12" i="7"/>
  <c r="H12" i="7" s="1"/>
  <c r="J11" i="7"/>
  <c r="I11" i="7"/>
  <c r="L11" i="7" s="1"/>
  <c r="G11" i="7"/>
  <c r="H11" i="7" s="1"/>
  <c r="L10" i="7"/>
  <c r="J10" i="7"/>
  <c r="I10" i="7"/>
  <c r="G10" i="7"/>
  <c r="H10" i="7" s="1"/>
  <c r="J9" i="7"/>
  <c r="I9" i="7"/>
  <c r="G9" i="7"/>
  <c r="H9" i="7" s="1"/>
  <c r="J8" i="7"/>
  <c r="L8" i="7" s="1"/>
  <c r="I8" i="7"/>
  <c r="G8" i="7"/>
  <c r="H8" i="7" s="1"/>
  <c r="J7" i="7"/>
  <c r="I7" i="7"/>
  <c r="G7" i="7"/>
  <c r="H7" i="7" s="1"/>
  <c r="J6" i="7"/>
  <c r="I6" i="7"/>
  <c r="L6" i="7" s="1"/>
  <c r="G6" i="7"/>
  <c r="H6" i="7" s="1"/>
  <c r="D41" i="6"/>
  <c r="E41" i="6" s="1"/>
  <c r="D40" i="6"/>
  <c r="E40" i="6" s="1"/>
  <c r="D39" i="6"/>
  <c r="E39" i="6" s="1"/>
  <c r="D38" i="6"/>
  <c r="E38" i="6" s="1"/>
  <c r="D37" i="6"/>
  <c r="E37" i="6" s="1"/>
  <c r="D36" i="6"/>
  <c r="E36" i="6" s="1"/>
  <c r="D35" i="6"/>
  <c r="E35" i="6" s="1"/>
  <c r="D34" i="6"/>
  <c r="E34" i="6" s="1"/>
  <c r="D33" i="6"/>
  <c r="E33" i="6" s="1"/>
  <c r="E30" i="6"/>
  <c r="F30" i="6" s="1"/>
  <c r="E29" i="6"/>
  <c r="F29" i="6" s="1"/>
  <c r="E28" i="6"/>
  <c r="F28" i="6" s="1"/>
  <c r="E27" i="6"/>
  <c r="F27" i="6" s="1"/>
  <c r="E26" i="6"/>
  <c r="F26" i="6" s="1"/>
  <c r="E25" i="6"/>
  <c r="F25" i="6" s="1"/>
  <c r="E24" i="6"/>
  <c r="F24" i="6" s="1"/>
  <c r="E23" i="6"/>
  <c r="F23" i="6" s="1"/>
  <c r="E22" i="6"/>
  <c r="F22" i="6" s="1"/>
  <c r="E21" i="6"/>
  <c r="F21" i="6" s="1"/>
  <c r="E20" i="6"/>
  <c r="F20" i="6" s="1"/>
  <c r="E19" i="6"/>
  <c r="F19" i="6" s="1"/>
  <c r="J14" i="6"/>
  <c r="I14" i="6"/>
  <c r="L14" i="6" s="1"/>
  <c r="G14" i="6"/>
  <c r="H14" i="6" s="1"/>
  <c r="J13" i="6"/>
  <c r="L13" i="6" s="1"/>
  <c r="I13" i="6"/>
  <c r="G13" i="6"/>
  <c r="H13" i="6" s="1"/>
  <c r="J12" i="6"/>
  <c r="I12" i="6"/>
  <c r="L12" i="6" s="1"/>
  <c r="G12" i="6"/>
  <c r="H12" i="6" s="1"/>
  <c r="J11" i="6"/>
  <c r="L11" i="6" s="1"/>
  <c r="I11" i="6"/>
  <c r="G11" i="6"/>
  <c r="H11" i="6" s="1"/>
  <c r="L10" i="6"/>
  <c r="J10" i="6"/>
  <c r="I10" i="6"/>
  <c r="G10" i="6"/>
  <c r="H10" i="6" s="1"/>
  <c r="J9" i="6"/>
  <c r="L9" i="6" s="1"/>
  <c r="I9" i="6"/>
  <c r="G9" i="6"/>
  <c r="H9" i="6" s="1"/>
  <c r="L8" i="6"/>
  <c r="J8" i="6"/>
  <c r="I8" i="6"/>
  <c r="G8" i="6"/>
  <c r="H8" i="6" s="1"/>
  <c r="J7" i="6"/>
  <c r="L7" i="6" s="1"/>
  <c r="I7" i="6"/>
  <c r="G7" i="6"/>
  <c r="H7" i="6" s="1"/>
  <c r="L6" i="6"/>
  <c r="J6" i="6"/>
  <c r="I6" i="6"/>
  <c r="G6" i="6"/>
  <c r="H6" i="6" s="1"/>
  <c r="B17" i="5"/>
  <c r="B144" i="4"/>
  <c r="H143" i="4"/>
  <c r="H138" i="4"/>
  <c r="B138" i="4"/>
  <c r="B133" i="4"/>
  <c r="H132" i="4"/>
  <c r="B128" i="4"/>
  <c r="H127" i="4"/>
  <c r="D122" i="4"/>
  <c r="C122" i="4"/>
  <c r="B120" i="4"/>
  <c r="D117" i="4"/>
  <c r="B117" i="4"/>
  <c r="D112" i="4"/>
  <c r="B112" i="4"/>
  <c r="D107" i="4"/>
  <c r="D101" i="4"/>
  <c r="D96" i="4"/>
  <c r="D91" i="4"/>
  <c r="H80" i="4"/>
  <c r="D77" i="4"/>
  <c r="H75" i="4"/>
  <c r="H68" i="4"/>
  <c r="D68" i="4"/>
  <c r="C68" i="4"/>
  <c r="D64" i="4"/>
  <c r="D61" i="4"/>
  <c r="C61" i="4"/>
  <c r="D57" i="4"/>
  <c r="H53" i="4"/>
  <c r="D51" i="4"/>
  <c r="B51" i="4"/>
  <c r="D47" i="4"/>
  <c r="C47" i="4"/>
  <c r="D43" i="4"/>
  <c r="B41" i="4"/>
  <c r="D37" i="4"/>
  <c r="B37" i="4"/>
  <c r="H28" i="4"/>
  <c r="H26" i="4"/>
  <c r="C26" i="4"/>
  <c r="D24" i="4"/>
  <c r="C24" i="4"/>
  <c r="H21" i="4"/>
  <c r="H19" i="4"/>
  <c r="B19" i="4"/>
  <c r="D17" i="4"/>
  <c r="B17" i="4"/>
  <c r="B7" i="4"/>
  <c r="D144" i="4" s="1"/>
  <c r="B6" i="4"/>
  <c r="B29" i="4" s="1"/>
  <c r="B5" i="4"/>
  <c r="C128" i="4" s="1"/>
  <c r="D20" i="2"/>
  <c r="B20" i="2"/>
  <c r="E20" i="2" s="1"/>
  <c r="D19" i="2"/>
  <c r="B19" i="2"/>
  <c r="E19" i="2" s="1"/>
  <c r="D18" i="2"/>
  <c r="B18" i="2"/>
  <c r="E18" i="2" s="1"/>
  <c r="B17" i="2"/>
  <c r="E17" i="2" s="1"/>
  <c r="B16" i="2"/>
  <c r="E16" i="2" s="1"/>
  <c r="B15" i="2"/>
  <c r="E15" i="2" s="1"/>
  <c r="B12" i="2"/>
  <c r="B16" i="8" l="1"/>
  <c r="B16" i="6"/>
  <c r="C112" i="4"/>
  <c r="C138" i="4"/>
  <c r="G138" i="4" s="1"/>
  <c r="C27" i="4"/>
  <c r="F27" i="4" s="1"/>
  <c r="H65" i="4"/>
  <c r="C20" i="4"/>
  <c r="H34" i="4"/>
  <c r="D45" i="4"/>
  <c r="B66" i="4"/>
  <c r="H69" i="4"/>
  <c r="B73" i="4"/>
  <c r="G73" i="4" s="1"/>
  <c r="H77" i="4"/>
  <c r="C88" i="4"/>
  <c r="G88" i="4" s="1"/>
  <c r="C93" i="4"/>
  <c r="D98" i="4"/>
  <c r="B104" i="4"/>
  <c r="C134" i="4"/>
  <c r="D139" i="4"/>
  <c r="C37" i="4"/>
  <c r="E37" i="4" s="1"/>
  <c r="C51" i="4"/>
  <c r="E51" i="4" s="1"/>
  <c r="C117" i="4"/>
  <c r="F117" i="4" s="1"/>
  <c r="B27" i="4"/>
  <c r="B123" i="4"/>
  <c r="F123" i="4" s="1"/>
  <c r="C133" i="4"/>
  <c r="G144" i="4"/>
  <c r="D143" i="4"/>
  <c r="H141" i="4"/>
  <c r="B139" i="4"/>
  <c r="G139" i="4" s="1"/>
  <c r="F137" i="4"/>
  <c r="C136" i="4"/>
  <c r="E136" i="4" s="1"/>
  <c r="D133" i="4"/>
  <c r="E133" i="4" s="1"/>
  <c r="H131" i="4"/>
  <c r="B129" i="4"/>
  <c r="C126" i="4"/>
  <c r="F126" i="4" s="1"/>
  <c r="G124" i="4"/>
  <c r="D123" i="4"/>
  <c r="E123" i="4" s="1"/>
  <c r="H121" i="4"/>
  <c r="B119" i="4"/>
  <c r="G119" i="4" s="1"/>
  <c r="C116" i="4"/>
  <c r="D113" i="4"/>
  <c r="H111" i="4"/>
  <c r="B109" i="4"/>
  <c r="E109" i="4" s="1"/>
  <c r="F107" i="4"/>
  <c r="C106" i="4"/>
  <c r="D103" i="4"/>
  <c r="H101" i="4"/>
  <c r="B99" i="4"/>
  <c r="G99" i="4" s="1"/>
  <c r="C96" i="4"/>
  <c r="G94" i="4"/>
  <c r="D93" i="4"/>
  <c r="H91" i="4"/>
  <c r="B89" i="4"/>
  <c r="C86" i="4"/>
  <c r="D83" i="4"/>
  <c r="H81" i="4"/>
  <c r="B79" i="4"/>
  <c r="G79" i="4" s="1"/>
  <c r="C76" i="4"/>
  <c r="D73" i="4"/>
  <c r="H71" i="4"/>
  <c r="B69" i="4"/>
  <c r="E69" i="4" s="1"/>
  <c r="F67" i="4"/>
  <c r="C66" i="4"/>
  <c r="G66" i="4" s="1"/>
  <c r="G64" i="4"/>
  <c r="D63" i="4"/>
  <c r="H61" i="4"/>
  <c r="C140" i="4"/>
  <c r="B137" i="4"/>
  <c r="H133" i="4"/>
  <c r="D132" i="4"/>
  <c r="E132" i="4" s="1"/>
  <c r="C129" i="4"/>
  <c r="E129" i="4" s="1"/>
  <c r="H125" i="4"/>
  <c r="D124" i="4"/>
  <c r="G122" i="4"/>
  <c r="C121" i="4"/>
  <c r="F119" i="4"/>
  <c r="B118" i="4"/>
  <c r="E118" i="4" s="1"/>
  <c r="E116" i="4"/>
  <c r="H114" i="4"/>
  <c r="C113" i="4"/>
  <c r="F113" i="4" s="1"/>
  <c r="B110" i="4"/>
  <c r="H106" i="4"/>
  <c r="D105" i="4"/>
  <c r="C102" i="4"/>
  <c r="G102" i="4" s="1"/>
  <c r="F100" i="4"/>
  <c r="H98" i="4"/>
  <c r="D97" i="4"/>
  <c r="C94" i="4"/>
  <c r="B91" i="4"/>
  <c r="E91" i="4" s="1"/>
  <c r="H87" i="4"/>
  <c r="D86" i="4"/>
  <c r="E86" i="4" s="1"/>
  <c r="F84" i="4"/>
  <c r="B83" i="4"/>
  <c r="H79" i="4"/>
  <c r="D78" i="4"/>
  <c r="C75" i="4"/>
  <c r="F73" i="4"/>
  <c r="B72" i="4"/>
  <c r="D70" i="4"/>
  <c r="G70" i="4" s="1"/>
  <c r="G68" i="4"/>
  <c r="C67" i="4"/>
  <c r="B64" i="4"/>
  <c r="H60" i="4"/>
  <c r="B58" i="4"/>
  <c r="C55" i="4"/>
  <c r="G55" i="4" s="1"/>
  <c r="D52" i="4"/>
  <c r="H50" i="4"/>
  <c r="B48" i="4"/>
  <c r="C45" i="4"/>
  <c r="D42" i="4"/>
  <c r="H40" i="4"/>
  <c r="E39" i="4"/>
  <c r="B38" i="4"/>
  <c r="C35" i="4"/>
  <c r="H144" i="4"/>
  <c r="C143" i="4"/>
  <c r="B140" i="4"/>
  <c r="E140" i="4" s="1"/>
  <c r="E138" i="4"/>
  <c r="H136" i="4"/>
  <c r="D135" i="4"/>
  <c r="C132" i="4"/>
  <c r="H128" i="4"/>
  <c r="D127" i="4"/>
  <c r="C124" i="4"/>
  <c r="F122" i="4"/>
  <c r="B121" i="4"/>
  <c r="G121" i="4" s="1"/>
  <c r="E119" i="4"/>
  <c r="H117" i="4"/>
  <c r="D116" i="4"/>
  <c r="B113" i="4"/>
  <c r="H109" i="4"/>
  <c r="D108" i="4"/>
  <c r="G106" i="4"/>
  <c r="C105" i="4"/>
  <c r="E105" i="4" s="1"/>
  <c r="B102" i="4"/>
  <c r="D100" i="4"/>
  <c r="C97" i="4"/>
  <c r="B94" i="4"/>
  <c r="F94" i="4" s="1"/>
  <c r="H90" i="4"/>
  <c r="D89" i="4"/>
  <c r="E89" i="4" s="1"/>
  <c r="G87" i="4"/>
  <c r="B86" i="4"/>
  <c r="H82" i="4"/>
  <c r="D81" i="4"/>
  <c r="C78" i="4"/>
  <c r="E78" i="4" s="1"/>
  <c r="F76" i="4"/>
  <c r="B75" i="4"/>
  <c r="F75" i="4" s="1"/>
  <c r="E73" i="4"/>
  <c r="G71" i="4"/>
  <c r="C70" i="4"/>
  <c r="F68" i="4"/>
  <c r="B67" i="4"/>
  <c r="H63" i="4"/>
  <c r="D62" i="4"/>
  <c r="D59" i="4"/>
  <c r="F59" i="4" s="1"/>
  <c r="H57" i="4"/>
  <c r="B55" i="4"/>
  <c r="E55" i="4" s="1"/>
  <c r="C52" i="4"/>
  <c r="D49" i="4"/>
  <c r="H47" i="4"/>
  <c r="B45" i="4"/>
  <c r="E45" i="4" s="1"/>
  <c r="F43" i="4"/>
  <c r="C42" i="4"/>
  <c r="E42" i="4" s="1"/>
  <c r="D39" i="4"/>
  <c r="H37" i="4"/>
  <c r="B35" i="4"/>
  <c r="C32" i="4"/>
  <c r="F144" i="4"/>
  <c r="B143" i="4"/>
  <c r="G143" i="4" s="1"/>
  <c r="H139" i="4"/>
  <c r="D138" i="4"/>
  <c r="C135" i="4"/>
  <c r="B132" i="4"/>
  <c r="G132" i="4" s="1"/>
  <c r="D130" i="4"/>
  <c r="G128" i="4"/>
  <c r="C127" i="4"/>
  <c r="F127" i="4" s="1"/>
  <c r="B124" i="4"/>
  <c r="H120" i="4"/>
  <c r="D119" i="4"/>
  <c r="B116" i="4"/>
  <c r="G116" i="4" s="1"/>
  <c r="H112" i="4"/>
  <c r="D111" i="4"/>
  <c r="G111" i="4" s="1"/>
  <c r="C108" i="4"/>
  <c r="B105" i="4"/>
  <c r="C100" i="4"/>
  <c r="F98" i="4"/>
  <c r="B97" i="4"/>
  <c r="F97" i="4" s="1"/>
  <c r="E95" i="4"/>
  <c r="H93" i="4"/>
  <c r="D92" i="4"/>
  <c r="C89" i="4"/>
  <c r="H85" i="4"/>
  <c r="D84" i="4"/>
  <c r="C81" i="4"/>
  <c r="B78" i="4"/>
  <c r="E76" i="4"/>
  <c r="H74" i="4"/>
  <c r="C73" i="4"/>
  <c r="B70" i="4"/>
  <c r="E70" i="4" s="1"/>
  <c r="E68" i="4"/>
  <c r="H66" i="4"/>
  <c r="D65" i="4"/>
  <c r="G63" i="4"/>
  <c r="C62" i="4"/>
  <c r="C59" i="4"/>
  <c r="D56" i="4"/>
  <c r="H54" i="4"/>
  <c r="B52" i="4"/>
  <c r="F52" i="4" s="1"/>
  <c r="F50" i="4"/>
  <c r="C49" i="4"/>
  <c r="G49" i="4" s="1"/>
  <c r="D46" i="4"/>
  <c r="E46" i="4" s="1"/>
  <c r="H44" i="4"/>
  <c r="B42" i="4"/>
  <c r="C39" i="4"/>
  <c r="G37" i="4"/>
  <c r="D36" i="4"/>
  <c r="B142" i="4"/>
  <c r="G142" i="4" s="1"/>
  <c r="D140" i="4"/>
  <c r="C137" i="4"/>
  <c r="B134" i="4"/>
  <c r="E134" i="4" s="1"/>
  <c r="H130" i="4"/>
  <c r="D129" i="4"/>
  <c r="G127" i="4"/>
  <c r="B126" i="4"/>
  <c r="E124" i="4"/>
  <c r="H122" i="4"/>
  <c r="D121" i="4"/>
  <c r="C118" i="4"/>
  <c r="F116" i="4"/>
  <c r="B115" i="4"/>
  <c r="E115" i="4" s="1"/>
  <c r="E113" i="4"/>
  <c r="C110" i="4"/>
  <c r="B107" i="4"/>
  <c r="G107" i="4" s="1"/>
  <c r="H103" i="4"/>
  <c r="D102" i="4"/>
  <c r="C99" i="4"/>
  <c r="E99" i="4" s="1"/>
  <c r="E97" i="4"/>
  <c r="H95" i="4"/>
  <c r="D94" i="4"/>
  <c r="C91" i="4"/>
  <c r="B88" i="4"/>
  <c r="H84" i="4"/>
  <c r="C83" i="4"/>
  <c r="E83" i="4" s="1"/>
  <c r="F81" i="4"/>
  <c r="B80" i="4"/>
  <c r="H76" i="4"/>
  <c r="D75" i="4"/>
  <c r="H134" i="4"/>
  <c r="F132" i="4"/>
  <c r="G129" i="4"/>
  <c r="H126" i="4"/>
  <c r="F124" i="4"/>
  <c r="H118" i="4"/>
  <c r="H113" i="4"/>
  <c r="B111" i="4"/>
  <c r="F111" i="4" s="1"/>
  <c r="H105" i="4"/>
  <c r="B103" i="4"/>
  <c r="G103" i="4" s="1"/>
  <c r="H100" i="4"/>
  <c r="B98" i="4"/>
  <c r="G98" i="4" s="1"/>
  <c r="C95" i="4"/>
  <c r="H92" i="4"/>
  <c r="B90" i="4"/>
  <c r="C87" i="4"/>
  <c r="B85" i="4"/>
  <c r="C82" i="4"/>
  <c r="D79" i="4"/>
  <c r="B77" i="4"/>
  <c r="E77" i="4" s="1"/>
  <c r="C74" i="4"/>
  <c r="E71" i="4"/>
  <c r="D67" i="4"/>
  <c r="H64" i="4"/>
  <c r="G62" i="4"/>
  <c r="D60" i="4"/>
  <c r="C56" i="4"/>
  <c r="D54" i="4"/>
  <c r="E54" i="4" s="1"/>
  <c r="C50" i="4"/>
  <c r="D48" i="4"/>
  <c r="B46" i="4"/>
  <c r="F46" i="4" s="1"/>
  <c r="C44" i="4"/>
  <c r="H41" i="4"/>
  <c r="B40" i="4"/>
  <c r="G40" i="4" s="1"/>
  <c r="C38" i="4"/>
  <c r="G38" i="4" s="1"/>
  <c r="H35" i="4"/>
  <c r="C34" i="4"/>
  <c r="G34" i="4" s="1"/>
  <c r="B31" i="4"/>
  <c r="B28" i="4"/>
  <c r="C25" i="4"/>
  <c r="D22" i="4"/>
  <c r="H20" i="4"/>
  <c r="E19" i="4"/>
  <c r="B18" i="4"/>
  <c r="C15" i="4"/>
  <c r="D142" i="4"/>
  <c r="E137" i="4"/>
  <c r="F134" i="4"/>
  <c r="G126" i="4"/>
  <c r="H123" i="4"/>
  <c r="H115" i="4"/>
  <c r="G113" i="4"/>
  <c r="H110" i="4"/>
  <c r="B108" i="4"/>
  <c r="G108" i="4" s="1"/>
  <c r="G105" i="4"/>
  <c r="H102" i="4"/>
  <c r="B100" i="4"/>
  <c r="G100" i="4" s="1"/>
  <c r="H97" i="4"/>
  <c r="B95" i="4"/>
  <c r="G95" i="4" s="1"/>
  <c r="C92" i="4"/>
  <c r="H89" i="4"/>
  <c r="B87" i="4"/>
  <c r="F87" i="4" s="1"/>
  <c r="C84" i="4"/>
  <c r="B82" i="4"/>
  <c r="E82" i="4" s="1"/>
  <c r="C79" i="4"/>
  <c r="F79" i="4" s="1"/>
  <c r="D76" i="4"/>
  <c r="B74" i="4"/>
  <c r="G74" i="4" s="1"/>
  <c r="D71" i="4"/>
  <c r="D69" i="4"/>
  <c r="F62" i="4"/>
  <c r="C60" i="4"/>
  <c r="D58" i="4"/>
  <c r="E58" i="4" s="1"/>
  <c r="B56" i="4"/>
  <c r="F56" i="4" s="1"/>
  <c r="C54" i="4"/>
  <c r="H51" i="4"/>
  <c r="B50" i="4"/>
  <c r="G50" i="4" s="1"/>
  <c r="C48" i="4"/>
  <c r="H45" i="4"/>
  <c r="B44" i="4"/>
  <c r="G41" i="4"/>
  <c r="H39" i="4"/>
  <c r="F37" i="4"/>
  <c r="G35" i="4"/>
  <c r="B34" i="4"/>
  <c r="E32" i="4"/>
  <c r="H30" i="4"/>
  <c r="D29" i="4"/>
  <c r="H27" i="4"/>
  <c r="B25" i="4"/>
  <c r="C22" i="4"/>
  <c r="F22" i="4" s="1"/>
  <c r="D19" i="4"/>
  <c r="H17" i="4"/>
  <c r="B15" i="4"/>
  <c r="E144" i="4"/>
  <c r="G112" i="4"/>
  <c r="H96" i="4"/>
  <c r="G86" i="4"/>
  <c r="E142" i="4"/>
  <c r="D137" i="4"/>
  <c r="G137" i="4" s="1"/>
  <c r="F118" i="4"/>
  <c r="H107" i="4"/>
  <c r="H99" i="4"/>
  <c r="H94" i="4"/>
  <c r="B92" i="4"/>
  <c r="E92" i="4" s="1"/>
  <c r="G89" i="4"/>
  <c r="H86" i="4"/>
  <c r="B84" i="4"/>
  <c r="G84" i="4" s="1"/>
  <c r="H78" i="4"/>
  <c r="B76" i="4"/>
  <c r="G76" i="4" s="1"/>
  <c r="H73" i="4"/>
  <c r="C71" i="4"/>
  <c r="C69" i="4"/>
  <c r="G69" i="4" s="1"/>
  <c r="E64" i="4"/>
  <c r="B62" i="4"/>
  <c r="E62" i="4" s="1"/>
  <c r="B60" i="4"/>
  <c r="G60" i="4" s="1"/>
  <c r="C58" i="4"/>
  <c r="H55" i="4"/>
  <c r="B54" i="4"/>
  <c r="H49" i="4"/>
  <c r="F47" i="4"/>
  <c r="G45" i="4"/>
  <c r="H43" i="4"/>
  <c r="H33" i="4"/>
  <c r="D32" i="4"/>
  <c r="C29" i="4"/>
  <c r="E29" i="4" s="1"/>
  <c r="G27" i="4"/>
  <c r="D26" i="4"/>
  <c r="H24" i="4"/>
  <c r="B22" i="4"/>
  <c r="C19" i="4"/>
  <c r="G19" i="4" s="1"/>
  <c r="G17" i="4"/>
  <c r="D16" i="4"/>
  <c r="H14" i="4"/>
  <c r="E139" i="4"/>
  <c r="D134" i="4"/>
  <c r="F110" i="4"/>
  <c r="H104" i="4"/>
  <c r="H88" i="4"/>
  <c r="H142" i="4"/>
  <c r="G140" i="4"/>
  <c r="H137" i="4"/>
  <c r="B135" i="4"/>
  <c r="E135" i="4" s="1"/>
  <c r="H129" i="4"/>
  <c r="B127" i="4"/>
  <c r="E127" i="4" s="1"/>
  <c r="H124" i="4"/>
  <c r="B122" i="4"/>
  <c r="E122" i="4" s="1"/>
  <c r="C119" i="4"/>
  <c r="H116" i="4"/>
  <c r="B114" i="4"/>
  <c r="F114" i="4" s="1"/>
  <c r="C111" i="4"/>
  <c r="H108" i="4"/>
  <c r="B106" i="4"/>
  <c r="C103" i="4"/>
  <c r="B101" i="4"/>
  <c r="C98" i="4"/>
  <c r="D95" i="4"/>
  <c r="B93" i="4"/>
  <c r="G93" i="4" s="1"/>
  <c r="C90" i="4"/>
  <c r="E90" i="4" s="1"/>
  <c r="D87" i="4"/>
  <c r="C85" i="4"/>
  <c r="D82" i="4"/>
  <c r="C77" i="4"/>
  <c r="D74" i="4"/>
  <c r="C72" i="4"/>
  <c r="E67" i="4"/>
  <c r="B65" i="4"/>
  <c r="E65" i="4" s="1"/>
  <c r="H62" i="4"/>
  <c r="E60" i="4"/>
  <c r="F58" i="4"/>
  <c r="D50" i="4"/>
  <c r="E48" i="4"/>
  <c r="C46" i="4"/>
  <c r="G46" i="4" s="1"/>
  <c r="D44" i="4"/>
  <c r="C40" i="4"/>
  <c r="D38" i="4"/>
  <c r="B36" i="4"/>
  <c r="E36" i="4" s="1"/>
  <c r="D34" i="4"/>
  <c r="C31" i="4"/>
  <c r="C28" i="4"/>
  <c r="E28" i="4" s="1"/>
  <c r="D25" i="4"/>
  <c r="E25" i="4" s="1"/>
  <c r="H23" i="4"/>
  <c r="E22" i="4"/>
  <c r="B21" i="4"/>
  <c r="F19" i="4"/>
  <c r="C18" i="4"/>
  <c r="D15" i="4"/>
  <c r="E15" i="4" s="1"/>
  <c r="H13" i="4"/>
  <c r="G44" i="4"/>
  <c r="G58" i="4"/>
  <c r="C144" i="4"/>
  <c r="G48" i="4"/>
  <c r="C13" i="4"/>
  <c r="G15" i="4"/>
  <c r="D20" i="4"/>
  <c r="G20" i="4" s="1"/>
  <c r="H22" i="4"/>
  <c r="H32" i="4"/>
  <c r="H48" i="4"/>
  <c r="B63" i="4"/>
  <c r="E63" i="4" s="1"/>
  <c r="D66" i="4"/>
  <c r="F66" i="4" s="1"/>
  <c r="F70" i="4"/>
  <c r="F78" i="4"/>
  <c r="D88" i="4"/>
  <c r="C104" i="4"/>
  <c r="E104" i="4" s="1"/>
  <c r="C109" i="4"/>
  <c r="C114" i="4"/>
  <c r="B130" i="4"/>
  <c r="F130" i="4" s="1"/>
  <c r="H140" i="4"/>
  <c r="C17" i="4"/>
  <c r="C65" i="4"/>
  <c r="C107" i="4"/>
  <c r="C41" i="4"/>
  <c r="E41" i="4" s="1"/>
  <c r="B81" i="4"/>
  <c r="G81" i="4" s="1"/>
  <c r="E17" i="4"/>
  <c r="B20" i="4"/>
  <c r="E20" i="4" s="1"/>
  <c r="G29" i="4"/>
  <c r="F48" i="4"/>
  <c r="D55" i="4"/>
  <c r="H72" i="4"/>
  <c r="F91" i="4"/>
  <c r="E102" i="4"/>
  <c r="E112" i="4"/>
  <c r="C123" i="4"/>
  <c r="D128" i="4"/>
  <c r="F128" i="4" s="1"/>
  <c r="C139" i="4"/>
  <c r="F17" i="4"/>
  <c r="H29" i="4"/>
  <c r="F51" i="4"/>
  <c r="F112" i="4"/>
  <c r="D18" i="4"/>
  <c r="G18" i="4" s="1"/>
  <c r="B30" i="4"/>
  <c r="E30" i="4" s="1"/>
  <c r="B59" i="4"/>
  <c r="B125" i="4"/>
  <c r="F125" i="4" s="1"/>
  <c r="D13" i="4"/>
  <c r="H15" i="4"/>
  <c r="F25" i="4"/>
  <c r="C30" i="4"/>
  <c r="G30" i="4" s="1"/>
  <c r="E35" i="4"/>
  <c r="F45" i="4"/>
  <c r="B49" i="4"/>
  <c r="E49" i="4" s="1"/>
  <c r="H52" i="4"/>
  <c r="C63" i="4"/>
  <c r="F74" i="4"/>
  <c r="D99" i="4"/>
  <c r="H135" i="4"/>
  <c r="B14" i="4"/>
  <c r="C21" i="4"/>
  <c r="C23" i="4"/>
  <c r="D28" i="4"/>
  <c r="D30" i="4"/>
  <c r="C33" i="4"/>
  <c r="F33" i="4" s="1"/>
  <c r="C36" i="4"/>
  <c r="G36" i="4" s="1"/>
  <c r="B39" i="4"/>
  <c r="F39" i="4" s="1"/>
  <c r="H42" i="4"/>
  <c r="B53" i="4"/>
  <c r="H56" i="4"/>
  <c r="G67" i="4"/>
  <c r="H70" i="4"/>
  <c r="E75" i="4"/>
  <c r="C80" i="4"/>
  <c r="F88" i="4"/>
  <c r="C115" i="4"/>
  <c r="C120" i="4"/>
  <c r="F120" i="4" s="1"/>
  <c r="D125" i="4"/>
  <c r="G125" i="4" s="1"/>
  <c r="B131" i="4"/>
  <c r="E131" i="4" s="1"/>
  <c r="B136" i="4"/>
  <c r="G136" i="4" s="1"/>
  <c r="C141" i="4"/>
  <c r="H31" i="4"/>
  <c r="D41" i="4"/>
  <c r="E107" i="4"/>
  <c r="B13" i="4"/>
  <c r="G13" i="4" s="1"/>
  <c r="F15" i="4"/>
  <c r="D27" i="4"/>
  <c r="E27" i="4" s="1"/>
  <c r="B32" i="4"/>
  <c r="G32" i="4" s="1"/>
  <c r="H58" i="4"/>
  <c r="D118" i="4"/>
  <c r="D35" i="4"/>
  <c r="F35" i="4" s="1"/>
  <c r="F55" i="4"/>
  <c r="H119" i="4"/>
  <c r="B23" i="4"/>
  <c r="G23" i="4" s="1"/>
  <c r="B33" i="4"/>
  <c r="H38" i="4"/>
  <c r="G78" i="4"/>
  <c r="F83" i="4"/>
  <c r="E88" i="4"/>
  <c r="D104" i="4"/>
  <c r="D109" i="4"/>
  <c r="D114" i="4"/>
  <c r="C125" i="4"/>
  <c r="C130" i="4"/>
  <c r="B141" i="4"/>
  <c r="G141" i="4" s="1"/>
  <c r="B16" i="4"/>
  <c r="E16" i="4" s="1"/>
  <c r="G25" i="4"/>
  <c r="D33" i="4"/>
  <c r="B57" i="4"/>
  <c r="H67" i="4"/>
  <c r="D80" i="4"/>
  <c r="E94" i="4"/>
  <c r="F104" i="4"/>
  <c r="F109" i="4"/>
  <c r="D115" i="4"/>
  <c r="G115" i="4" s="1"/>
  <c r="D120" i="4"/>
  <c r="C131" i="4"/>
  <c r="D136" i="4"/>
  <c r="D141" i="4"/>
  <c r="C14" i="4"/>
  <c r="C16" i="4"/>
  <c r="D21" i="4"/>
  <c r="E21" i="4" s="1"/>
  <c r="D23" i="4"/>
  <c r="H25" i="4"/>
  <c r="B43" i="4"/>
  <c r="G43" i="4" s="1"/>
  <c r="H46" i="4"/>
  <c r="C53" i="4"/>
  <c r="E53" i="4" s="1"/>
  <c r="H59" i="4"/>
  <c r="B71" i="4"/>
  <c r="F71" i="4" s="1"/>
  <c r="H83" i="4"/>
  <c r="D14" i="4"/>
  <c r="H16" i="4"/>
  <c r="H18" i="4"/>
  <c r="B24" i="4"/>
  <c r="E24" i="4" s="1"/>
  <c r="B26" i="4"/>
  <c r="E26" i="4" s="1"/>
  <c r="D31" i="4"/>
  <c r="H36" i="4"/>
  <c r="D40" i="4"/>
  <c r="C43" i="4"/>
  <c r="B47" i="4"/>
  <c r="E47" i="4" s="1"/>
  <c r="E50" i="4"/>
  <c r="D53" i="4"/>
  <c r="C57" i="4"/>
  <c r="B61" i="4"/>
  <c r="E61" i="4" s="1"/>
  <c r="C64" i="4"/>
  <c r="F64" i="4" s="1"/>
  <c r="B68" i="4"/>
  <c r="D72" i="4"/>
  <c r="D85" i="4"/>
  <c r="D90" i="4"/>
  <c r="B96" i="4"/>
  <c r="G96" i="4" s="1"/>
  <c r="C101" i="4"/>
  <c r="G101" i="4" s="1"/>
  <c r="D106" i="4"/>
  <c r="D110" i="4"/>
  <c r="E110" i="4" s="1"/>
  <c r="D126" i="4"/>
  <c r="D131" i="4"/>
  <c r="C142" i="4"/>
  <c r="F142" i="4" s="1"/>
  <c r="L7" i="7"/>
  <c r="L9" i="7"/>
  <c r="L9" i="9"/>
  <c r="B16" i="9" s="1"/>
  <c r="B16" i="7" l="1"/>
  <c r="G131" i="4"/>
  <c r="G80" i="4"/>
  <c r="F143" i="4"/>
  <c r="F115" i="4"/>
  <c r="F63" i="4"/>
  <c r="E125" i="4"/>
  <c r="F49" i="4"/>
  <c r="F18" i="4"/>
  <c r="F42" i="4"/>
  <c r="F102" i="4"/>
  <c r="E23" i="4"/>
  <c r="G39" i="4"/>
  <c r="G110" i="4"/>
  <c r="F16" i="4"/>
  <c r="E31" i="4"/>
  <c r="G31" i="4"/>
  <c r="F31" i="4"/>
  <c r="G92" i="4"/>
  <c r="F108" i="4"/>
  <c r="F60" i="4"/>
  <c r="F53" i="4"/>
  <c r="E84" i="4"/>
  <c r="F36" i="4"/>
  <c r="F65" i="4"/>
  <c r="E81" i="4"/>
  <c r="G104" i="4"/>
  <c r="F28" i="4"/>
  <c r="F57" i="4"/>
  <c r="E57" i="4"/>
  <c r="F93" i="4"/>
  <c r="E18" i="4"/>
  <c r="G22" i="4"/>
  <c r="G83" i="4"/>
  <c r="G14" i="4"/>
  <c r="E14" i="4"/>
  <c r="F14" i="4"/>
  <c r="G42" i="4"/>
  <c r="E38" i="4"/>
  <c r="G135" i="4"/>
  <c r="E74" i="4"/>
  <c r="G77" i="4"/>
  <c r="F21" i="4"/>
  <c r="G21" i="4"/>
  <c r="G56" i="4"/>
  <c r="E79" i="4"/>
  <c r="E106" i="4"/>
  <c r="F136" i="4"/>
  <c r="F41" i="4"/>
  <c r="F139" i="4"/>
  <c r="F34" i="4"/>
  <c r="E34" i="4"/>
  <c r="F129" i="4"/>
  <c r="F32" i="4"/>
  <c r="E52" i="4"/>
  <c r="G47" i="4"/>
  <c r="G109" i="4"/>
  <c r="E141" i="4"/>
  <c r="G133" i="4"/>
  <c r="G130" i="4"/>
  <c r="F77" i="4"/>
  <c r="E120" i="4"/>
  <c r="G134" i="4"/>
  <c r="E56" i="4"/>
  <c r="F103" i="4"/>
  <c r="G53" i="4"/>
  <c r="E80" i="4"/>
  <c r="F82" i="4"/>
  <c r="E13" i="4"/>
  <c r="F23" i="4"/>
  <c r="E114" i="4"/>
  <c r="E59" i="4"/>
  <c r="F138" i="4"/>
  <c r="E121" i="4"/>
  <c r="G82" i="4"/>
  <c r="F72" i="4"/>
  <c r="E72" i="4"/>
  <c r="G72" i="4"/>
  <c r="E66" i="4"/>
  <c r="F86" i="4"/>
  <c r="G52" i="4"/>
  <c r="G26" i="4"/>
  <c r="F30" i="4"/>
  <c r="G97" i="4"/>
  <c r="F140" i="4"/>
  <c r="F141" i="4"/>
  <c r="G59" i="4"/>
  <c r="E93" i="4"/>
  <c r="G24" i="4"/>
  <c r="F29" i="4"/>
  <c r="F69" i="4"/>
  <c r="G91" i="4"/>
  <c r="E126" i="4"/>
  <c r="G54" i="4"/>
  <c r="F54" i="4"/>
  <c r="F13" i="4"/>
  <c r="G118" i="4"/>
  <c r="F26" i="4"/>
  <c r="F90" i="4"/>
  <c r="F135" i="4"/>
  <c r="E87" i="4"/>
  <c r="E103" i="4"/>
  <c r="F95" i="4"/>
  <c r="E111" i="4"/>
  <c r="F92" i="4"/>
  <c r="E108" i="4"/>
  <c r="E100" i="4"/>
  <c r="G114" i="4"/>
  <c r="E128" i="4"/>
  <c r="F96" i="4"/>
  <c r="E96" i="4"/>
  <c r="F38" i="4"/>
  <c r="G123" i="4"/>
  <c r="G51" i="4"/>
  <c r="F44" i="4"/>
  <c r="E44" i="4"/>
  <c r="F133" i="4"/>
  <c r="G33" i="4"/>
  <c r="F24" i="4"/>
  <c r="F61" i="4"/>
  <c r="G16" i="4"/>
  <c r="F20" i="4"/>
  <c r="F105" i="4"/>
  <c r="F131" i="4"/>
  <c r="F121" i="4"/>
  <c r="G28" i="4"/>
  <c r="F89" i="4"/>
  <c r="E43" i="4"/>
  <c r="G57" i="4"/>
  <c r="E130" i="4"/>
  <c r="G61" i="4"/>
  <c r="F99" i="4"/>
  <c r="G65" i="4"/>
  <c r="G120" i="4"/>
  <c r="E40" i="4"/>
  <c r="G85" i="4"/>
  <c r="F85" i="4"/>
  <c r="E85" i="4"/>
  <c r="F80" i="4"/>
  <c r="E98" i="4"/>
  <c r="F40" i="4"/>
  <c r="G117" i="4"/>
  <c r="G75" i="4"/>
  <c r="E33" i="4"/>
  <c r="E117" i="4"/>
  <c r="E101" i="4"/>
  <c r="F101" i="4"/>
  <c r="G90" i="4"/>
  <c r="F106" i="4"/>
  <c r="E14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Mahir Nagersheth</author>
  </authors>
  <commentList>
    <comment ref="B1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15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15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16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16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17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17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18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18" authorId="0" shapeId="0" xr:uid="{00000000-0006-0000-0100-000009000000}">
      <text>
        <r>
          <rPr>
            <sz val="11"/>
            <color rgb="FF000000"/>
            <rFont val="Calibri"/>
            <family val="2"/>
          </rPr>
          <t>Formula documented in this worksheet. Inputs: HW2.pdf.</t>
        </r>
      </text>
    </comment>
    <comment ref="E18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19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19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19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20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20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20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Mahir Nagersheth</author>
  </authors>
  <commentList>
    <comment ref="B5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6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7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13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13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13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13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13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13" authorId="0" shapeId="0" xr:uid="{00000000-0006-0000-0300-000009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13" authorId="0" shapeId="0" xr:uid="{00000000-0006-0000-0300-00000A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14" authorId="0" shapeId="0" xr:uid="{00000000-0006-0000-0300-00000B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14" authorId="0" shapeId="0" xr:uid="{00000000-0006-0000-0300-00000C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14" authorId="0" shapeId="0" xr:uid="{00000000-0006-0000-0300-00000D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14" authorId="0" shapeId="0" xr:uid="{00000000-0006-0000-0300-00000E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14" authorId="0" shapeId="0" xr:uid="{00000000-0006-0000-0300-00000F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14" authorId="0" shapeId="0" xr:uid="{00000000-0006-0000-0300-000010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14" authorId="0" shapeId="0" xr:uid="{00000000-0006-0000-0300-000011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15" authorId="0" shapeId="0" xr:uid="{00000000-0006-0000-0300-000012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15" authorId="0" shapeId="0" xr:uid="{00000000-0006-0000-0300-000013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15" authorId="0" shapeId="0" xr:uid="{00000000-0006-0000-0300-000014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15" authorId="0" shapeId="0" xr:uid="{00000000-0006-0000-0300-000015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15" authorId="0" shapeId="0" xr:uid="{00000000-0006-0000-0300-000016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15" authorId="0" shapeId="0" xr:uid="{00000000-0006-0000-0300-000017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15" authorId="0" shapeId="0" xr:uid="{00000000-0006-0000-0300-000018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16" authorId="0" shapeId="0" xr:uid="{00000000-0006-0000-0300-000019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16" authorId="0" shapeId="0" xr:uid="{00000000-0006-0000-0300-00001A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16" authorId="0" shapeId="0" xr:uid="{00000000-0006-0000-0300-00001B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16" authorId="0" shapeId="0" xr:uid="{00000000-0006-0000-0300-00001C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16" authorId="0" shapeId="0" xr:uid="{00000000-0006-0000-0300-00001D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16" authorId="0" shapeId="0" xr:uid="{00000000-0006-0000-0300-00001E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16" authorId="0" shapeId="0" xr:uid="{00000000-0006-0000-0300-00001F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17" authorId="0" shapeId="0" xr:uid="{00000000-0006-0000-0300-000020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17" authorId="0" shapeId="0" xr:uid="{00000000-0006-0000-0300-000021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17" authorId="0" shapeId="0" xr:uid="{00000000-0006-0000-0300-000022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17" authorId="0" shapeId="0" xr:uid="{00000000-0006-0000-0300-000023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17" authorId="0" shapeId="0" xr:uid="{00000000-0006-0000-0300-000024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17" authorId="0" shapeId="0" xr:uid="{00000000-0006-0000-0300-000025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17" authorId="0" shapeId="0" xr:uid="{00000000-0006-0000-0300-000026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18" authorId="0" shapeId="0" xr:uid="{00000000-0006-0000-0300-000027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18" authorId="0" shapeId="0" xr:uid="{00000000-0006-0000-0300-000028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18" authorId="0" shapeId="0" xr:uid="{00000000-0006-0000-0300-000029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18" authorId="0" shapeId="0" xr:uid="{00000000-0006-0000-0300-00002A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18" authorId="0" shapeId="0" xr:uid="{00000000-0006-0000-0300-00002B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18" authorId="0" shapeId="0" xr:uid="{00000000-0006-0000-0300-00002C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18" authorId="0" shapeId="0" xr:uid="{00000000-0006-0000-0300-00002D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19" authorId="0" shapeId="0" xr:uid="{00000000-0006-0000-0300-00002E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19" authorId="0" shapeId="0" xr:uid="{00000000-0006-0000-0300-00002F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19" authorId="0" shapeId="0" xr:uid="{00000000-0006-0000-0300-000030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19" authorId="0" shapeId="0" xr:uid="{00000000-0006-0000-0300-000031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19" authorId="0" shapeId="0" xr:uid="{00000000-0006-0000-0300-000032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19" authorId="0" shapeId="0" xr:uid="{00000000-0006-0000-0300-000033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19" authorId="0" shapeId="0" xr:uid="{00000000-0006-0000-0300-000034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20" authorId="0" shapeId="0" xr:uid="{00000000-0006-0000-0300-000035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20" authorId="0" shapeId="0" xr:uid="{00000000-0006-0000-0300-000036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20" authorId="0" shapeId="0" xr:uid="{00000000-0006-0000-0300-000037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20" authorId="0" shapeId="0" xr:uid="{00000000-0006-0000-0300-000038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20" authorId="0" shapeId="0" xr:uid="{00000000-0006-0000-0300-000039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20" authorId="0" shapeId="0" xr:uid="{00000000-0006-0000-0300-00003A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20" authorId="0" shapeId="0" xr:uid="{00000000-0006-0000-0300-00003B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21" authorId="0" shapeId="0" xr:uid="{00000000-0006-0000-0300-00003C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21" authorId="0" shapeId="0" xr:uid="{00000000-0006-0000-0300-00003D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21" authorId="0" shapeId="0" xr:uid="{00000000-0006-0000-0300-00003E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21" authorId="0" shapeId="0" xr:uid="{00000000-0006-0000-0300-00003F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21" authorId="0" shapeId="0" xr:uid="{00000000-0006-0000-0300-000040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21" authorId="0" shapeId="0" xr:uid="{00000000-0006-0000-0300-000041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21" authorId="0" shapeId="0" xr:uid="{00000000-0006-0000-0300-000042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22" authorId="0" shapeId="0" xr:uid="{00000000-0006-0000-0300-000043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22" authorId="0" shapeId="0" xr:uid="{00000000-0006-0000-0300-000044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22" authorId="0" shapeId="0" xr:uid="{00000000-0006-0000-0300-000045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22" authorId="0" shapeId="0" xr:uid="{00000000-0006-0000-0300-000046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22" authorId="0" shapeId="0" xr:uid="{00000000-0006-0000-0300-000047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22" authorId="0" shapeId="0" xr:uid="{00000000-0006-0000-0300-000048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22" authorId="0" shapeId="0" xr:uid="{00000000-0006-0000-0300-000049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23" authorId="0" shapeId="0" xr:uid="{00000000-0006-0000-0300-00004A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23" authorId="0" shapeId="0" xr:uid="{00000000-0006-0000-0300-00004B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23" authorId="0" shapeId="0" xr:uid="{00000000-0006-0000-0300-00004C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23" authorId="0" shapeId="0" xr:uid="{00000000-0006-0000-0300-00004D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23" authorId="0" shapeId="0" xr:uid="{00000000-0006-0000-0300-00004E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23" authorId="0" shapeId="0" xr:uid="{00000000-0006-0000-0300-00004F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23" authorId="0" shapeId="0" xr:uid="{00000000-0006-0000-0300-000050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24" authorId="0" shapeId="0" xr:uid="{00000000-0006-0000-0300-000051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24" authorId="0" shapeId="0" xr:uid="{00000000-0006-0000-0300-000052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24" authorId="0" shapeId="0" xr:uid="{00000000-0006-0000-0300-000053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24" authorId="0" shapeId="0" xr:uid="{00000000-0006-0000-0300-000054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24" authorId="0" shapeId="0" xr:uid="{00000000-0006-0000-0300-000055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24" authorId="0" shapeId="0" xr:uid="{00000000-0006-0000-0300-000056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24" authorId="0" shapeId="0" xr:uid="{00000000-0006-0000-0300-000057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25" authorId="0" shapeId="0" xr:uid="{00000000-0006-0000-0300-000058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25" authorId="0" shapeId="0" xr:uid="{00000000-0006-0000-0300-000059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25" authorId="0" shapeId="0" xr:uid="{00000000-0006-0000-0300-00005A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25" authorId="0" shapeId="0" xr:uid="{00000000-0006-0000-0300-00005B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25" authorId="0" shapeId="0" xr:uid="{00000000-0006-0000-0300-00005C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25" authorId="0" shapeId="0" xr:uid="{00000000-0006-0000-0300-00005D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25" authorId="0" shapeId="0" xr:uid="{00000000-0006-0000-0300-00005E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26" authorId="0" shapeId="0" xr:uid="{00000000-0006-0000-0300-00005F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26" authorId="0" shapeId="0" xr:uid="{00000000-0006-0000-0300-000060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26" authorId="0" shapeId="0" xr:uid="{00000000-0006-0000-0300-000061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26" authorId="0" shapeId="0" xr:uid="{00000000-0006-0000-0300-000062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26" authorId="0" shapeId="0" xr:uid="{00000000-0006-0000-0300-000063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26" authorId="0" shapeId="0" xr:uid="{00000000-0006-0000-0300-000064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26" authorId="0" shapeId="0" xr:uid="{00000000-0006-0000-0300-000065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27" authorId="0" shapeId="0" xr:uid="{00000000-0006-0000-0300-000066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27" authorId="0" shapeId="0" xr:uid="{00000000-0006-0000-0300-000067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27" authorId="0" shapeId="0" xr:uid="{00000000-0006-0000-0300-000068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27" authorId="0" shapeId="0" xr:uid="{00000000-0006-0000-0300-000069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27" authorId="0" shapeId="0" xr:uid="{00000000-0006-0000-0300-00006A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27" authorId="0" shapeId="0" xr:uid="{00000000-0006-0000-0300-00006B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27" authorId="0" shapeId="0" xr:uid="{00000000-0006-0000-0300-00006C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28" authorId="0" shapeId="0" xr:uid="{00000000-0006-0000-0300-00006D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28" authorId="0" shapeId="0" xr:uid="{00000000-0006-0000-0300-00006E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28" authorId="0" shapeId="0" xr:uid="{00000000-0006-0000-0300-00006F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28" authorId="0" shapeId="0" xr:uid="{00000000-0006-0000-0300-000070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28" authorId="0" shapeId="0" xr:uid="{00000000-0006-0000-0300-000071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28" authorId="0" shapeId="0" xr:uid="{00000000-0006-0000-0300-000072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28" authorId="0" shapeId="0" xr:uid="{00000000-0006-0000-0300-000073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29" authorId="0" shapeId="0" xr:uid="{00000000-0006-0000-0300-000074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29" authorId="0" shapeId="0" xr:uid="{00000000-0006-0000-0300-000075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29" authorId="0" shapeId="0" xr:uid="{00000000-0006-0000-0300-000076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29" authorId="0" shapeId="0" xr:uid="{00000000-0006-0000-0300-000077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29" authorId="0" shapeId="0" xr:uid="{00000000-0006-0000-0300-000078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29" authorId="0" shapeId="0" xr:uid="{00000000-0006-0000-0300-000079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29" authorId="0" shapeId="0" xr:uid="{00000000-0006-0000-0300-00007A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30" authorId="0" shapeId="0" xr:uid="{00000000-0006-0000-0300-00007B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30" authorId="0" shapeId="0" xr:uid="{00000000-0006-0000-0300-00007C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30" authorId="0" shapeId="0" xr:uid="{00000000-0006-0000-0300-00007D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30" authorId="0" shapeId="0" xr:uid="{00000000-0006-0000-0300-00007E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30" authorId="0" shapeId="0" xr:uid="{00000000-0006-0000-0300-00007F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30" authorId="0" shapeId="0" xr:uid="{00000000-0006-0000-0300-000080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30" authorId="0" shapeId="0" xr:uid="{00000000-0006-0000-0300-000081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31" authorId="0" shapeId="0" xr:uid="{00000000-0006-0000-0300-000082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31" authorId="0" shapeId="0" xr:uid="{00000000-0006-0000-0300-000083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31" authorId="0" shapeId="0" xr:uid="{00000000-0006-0000-0300-000084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31" authorId="0" shapeId="0" xr:uid="{00000000-0006-0000-0300-000085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31" authorId="0" shapeId="0" xr:uid="{00000000-0006-0000-0300-000086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31" authorId="0" shapeId="0" xr:uid="{00000000-0006-0000-0300-000087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31" authorId="0" shapeId="0" xr:uid="{00000000-0006-0000-0300-000088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32" authorId="0" shapeId="0" xr:uid="{00000000-0006-0000-0300-000089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32" authorId="0" shapeId="0" xr:uid="{00000000-0006-0000-0300-00008A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32" authorId="0" shapeId="0" xr:uid="{00000000-0006-0000-0300-00008B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32" authorId="0" shapeId="0" xr:uid="{00000000-0006-0000-0300-00008C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32" authorId="0" shapeId="0" xr:uid="{00000000-0006-0000-0300-00008D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32" authorId="0" shapeId="0" xr:uid="{00000000-0006-0000-0300-00008E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32" authorId="0" shapeId="0" xr:uid="{00000000-0006-0000-0300-00008F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33" authorId="0" shapeId="0" xr:uid="{00000000-0006-0000-0300-000090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33" authorId="0" shapeId="0" xr:uid="{00000000-0006-0000-0300-000091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33" authorId="0" shapeId="0" xr:uid="{00000000-0006-0000-0300-000092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33" authorId="0" shapeId="0" xr:uid="{00000000-0006-0000-0300-000093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33" authorId="0" shapeId="0" xr:uid="{00000000-0006-0000-0300-000094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33" authorId="0" shapeId="0" xr:uid="{00000000-0006-0000-0300-000095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33" authorId="0" shapeId="0" xr:uid="{00000000-0006-0000-0300-000096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34" authorId="0" shapeId="0" xr:uid="{00000000-0006-0000-0300-000097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34" authorId="0" shapeId="0" xr:uid="{00000000-0006-0000-0300-000098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34" authorId="0" shapeId="0" xr:uid="{00000000-0006-0000-0300-000099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34" authorId="0" shapeId="0" xr:uid="{00000000-0006-0000-0300-00009A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34" authorId="0" shapeId="0" xr:uid="{00000000-0006-0000-0300-00009B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34" authorId="0" shapeId="0" xr:uid="{00000000-0006-0000-0300-00009C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34" authorId="0" shapeId="0" xr:uid="{00000000-0006-0000-0300-00009D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35" authorId="0" shapeId="0" xr:uid="{00000000-0006-0000-0300-00009E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35" authorId="0" shapeId="0" xr:uid="{00000000-0006-0000-0300-00009F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35" authorId="0" shapeId="0" xr:uid="{00000000-0006-0000-0300-0000A0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35" authorId="0" shapeId="0" xr:uid="{00000000-0006-0000-0300-0000A1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35" authorId="0" shapeId="0" xr:uid="{00000000-0006-0000-0300-0000A2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35" authorId="0" shapeId="0" xr:uid="{00000000-0006-0000-0300-0000A3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35" authorId="0" shapeId="0" xr:uid="{00000000-0006-0000-0300-0000A4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36" authorId="0" shapeId="0" xr:uid="{00000000-0006-0000-0300-0000A5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36" authorId="0" shapeId="0" xr:uid="{00000000-0006-0000-0300-0000A6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36" authorId="0" shapeId="0" xr:uid="{00000000-0006-0000-0300-0000A7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36" authorId="0" shapeId="0" xr:uid="{00000000-0006-0000-0300-0000A8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36" authorId="0" shapeId="0" xr:uid="{00000000-0006-0000-0300-0000A9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36" authorId="0" shapeId="0" xr:uid="{00000000-0006-0000-0300-0000AA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36" authorId="0" shapeId="0" xr:uid="{00000000-0006-0000-0300-0000AB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37" authorId="0" shapeId="0" xr:uid="{00000000-0006-0000-0300-0000AC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37" authorId="0" shapeId="0" xr:uid="{00000000-0006-0000-0300-0000AD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37" authorId="0" shapeId="0" xr:uid="{00000000-0006-0000-0300-0000AE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37" authorId="0" shapeId="0" xr:uid="{00000000-0006-0000-0300-0000AF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37" authorId="0" shapeId="0" xr:uid="{00000000-0006-0000-0300-0000B0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37" authorId="0" shapeId="0" xr:uid="{00000000-0006-0000-0300-0000B1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37" authorId="0" shapeId="0" xr:uid="{00000000-0006-0000-0300-0000B2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38" authorId="0" shapeId="0" xr:uid="{00000000-0006-0000-0300-0000B3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38" authorId="0" shapeId="0" xr:uid="{00000000-0006-0000-0300-0000B4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38" authorId="0" shapeId="0" xr:uid="{00000000-0006-0000-0300-0000B5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38" authorId="0" shapeId="0" xr:uid="{00000000-0006-0000-0300-0000B6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38" authorId="0" shapeId="0" xr:uid="{00000000-0006-0000-0300-0000B7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38" authorId="0" shapeId="0" xr:uid="{00000000-0006-0000-0300-0000B8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38" authorId="0" shapeId="0" xr:uid="{00000000-0006-0000-0300-0000B9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39" authorId="0" shapeId="0" xr:uid="{00000000-0006-0000-0300-0000BA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39" authorId="0" shapeId="0" xr:uid="{00000000-0006-0000-0300-0000BB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39" authorId="0" shapeId="0" xr:uid="{00000000-0006-0000-0300-0000BC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39" authorId="0" shapeId="0" xr:uid="{00000000-0006-0000-0300-0000BD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39" authorId="0" shapeId="0" xr:uid="{00000000-0006-0000-0300-0000BE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39" authorId="0" shapeId="0" xr:uid="{00000000-0006-0000-0300-0000BF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39" authorId="0" shapeId="0" xr:uid="{00000000-0006-0000-0300-0000C0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40" authorId="0" shapeId="0" xr:uid="{00000000-0006-0000-0300-0000C1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40" authorId="0" shapeId="0" xr:uid="{00000000-0006-0000-0300-0000C2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40" authorId="0" shapeId="0" xr:uid="{00000000-0006-0000-0300-0000C3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40" authorId="0" shapeId="0" xr:uid="{00000000-0006-0000-0300-0000C4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40" authorId="0" shapeId="0" xr:uid="{00000000-0006-0000-0300-0000C5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40" authorId="0" shapeId="0" xr:uid="{00000000-0006-0000-0300-0000C6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40" authorId="0" shapeId="0" xr:uid="{00000000-0006-0000-0300-0000C7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41" authorId="0" shapeId="0" xr:uid="{00000000-0006-0000-0300-0000C8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41" authorId="0" shapeId="0" xr:uid="{00000000-0006-0000-0300-0000C9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41" authorId="0" shapeId="0" xr:uid="{00000000-0006-0000-0300-0000CA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41" authorId="0" shapeId="0" xr:uid="{00000000-0006-0000-0300-0000CB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41" authorId="0" shapeId="0" xr:uid="{00000000-0006-0000-0300-0000CC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41" authorId="0" shapeId="0" xr:uid="{00000000-0006-0000-0300-0000CD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41" authorId="0" shapeId="0" xr:uid="{00000000-0006-0000-0300-0000CE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42" authorId="0" shapeId="0" xr:uid="{00000000-0006-0000-0300-0000CF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42" authorId="0" shapeId="0" xr:uid="{00000000-0006-0000-0300-0000D0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42" authorId="0" shapeId="0" xr:uid="{00000000-0006-0000-0300-0000D1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42" authorId="0" shapeId="0" xr:uid="{00000000-0006-0000-0300-0000D2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42" authorId="0" shapeId="0" xr:uid="{00000000-0006-0000-0300-0000D3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42" authorId="0" shapeId="0" xr:uid="{00000000-0006-0000-0300-0000D4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42" authorId="0" shapeId="0" xr:uid="{00000000-0006-0000-0300-0000D5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43" authorId="0" shapeId="0" xr:uid="{00000000-0006-0000-0300-0000D6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43" authorId="0" shapeId="0" xr:uid="{00000000-0006-0000-0300-0000D7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43" authorId="0" shapeId="0" xr:uid="{00000000-0006-0000-0300-0000D8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43" authorId="0" shapeId="0" xr:uid="{00000000-0006-0000-0300-0000D9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43" authorId="0" shapeId="0" xr:uid="{00000000-0006-0000-0300-0000DA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43" authorId="0" shapeId="0" xr:uid="{00000000-0006-0000-0300-0000DB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43" authorId="0" shapeId="0" xr:uid="{00000000-0006-0000-0300-0000DC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44" authorId="0" shapeId="0" xr:uid="{00000000-0006-0000-0300-0000DD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44" authorId="0" shapeId="0" xr:uid="{00000000-0006-0000-0300-0000DE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44" authorId="0" shapeId="0" xr:uid="{00000000-0006-0000-0300-0000DF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44" authorId="0" shapeId="0" xr:uid="{00000000-0006-0000-0300-0000E0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44" authorId="0" shapeId="0" xr:uid="{00000000-0006-0000-0300-0000E1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44" authorId="0" shapeId="0" xr:uid="{00000000-0006-0000-0300-0000E2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44" authorId="0" shapeId="0" xr:uid="{00000000-0006-0000-0300-0000E3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45" authorId="0" shapeId="0" xr:uid="{00000000-0006-0000-0300-0000E4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45" authorId="0" shapeId="0" xr:uid="{00000000-0006-0000-0300-0000E5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45" authorId="0" shapeId="0" xr:uid="{00000000-0006-0000-0300-0000E6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45" authorId="0" shapeId="0" xr:uid="{00000000-0006-0000-0300-0000E7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45" authorId="0" shapeId="0" xr:uid="{00000000-0006-0000-0300-0000E8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45" authorId="0" shapeId="0" xr:uid="{00000000-0006-0000-0300-0000E9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45" authorId="0" shapeId="0" xr:uid="{00000000-0006-0000-0300-0000EA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46" authorId="0" shapeId="0" xr:uid="{00000000-0006-0000-0300-0000EB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46" authorId="0" shapeId="0" xr:uid="{00000000-0006-0000-0300-0000EC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46" authorId="0" shapeId="0" xr:uid="{00000000-0006-0000-0300-0000ED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46" authorId="0" shapeId="0" xr:uid="{00000000-0006-0000-0300-0000EE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46" authorId="0" shapeId="0" xr:uid="{00000000-0006-0000-0300-0000EF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46" authorId="0" shapeId="0" xr:uid="{00000000-0006-0000-0300-0000F0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46" authorId="0" shapeId="0" xr:uid="{00000000-0006-0000-0300-0000F1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47" authorId="0" shapeId="0" xr:uid="{00000000-0006-0000-0300-0000F2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47" authorId="0" shapeId="0" xr:uid="{00000000-0006-0000-0300-0000F3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47" authorId="0" shapeId="0" xr:uid="{00000000-0006-0000-0300-0000F4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47" authorId="0" shapeId="0" xr:uid="{00000000-0006-0000-0300-0000F5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47" authorId="0" shapeId="0" xr:uid="{00000000-0006-0000-0300-0000F6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47" authorId="0" shapeId="0" xr:uid="{00000000-0006-0000-0300-0000F7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47" authorId="0" shapeId="0" xr:uid="{00000000-0006-0000-0300-0000F8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48" authorId="0" shapeId="0" xr:uid="{00000000-0006-0000-0300-0000F9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48" authorId="0" shapeId="0" xr:uid="{00000000-0006-0000-0300-0000FA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48" authorId="0" shapeId="0" xr:uid="{00000000-0006-0000-0300-0000FB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48" authorId="0" shapeId="0" xr:uid="{00000000-0006-0000-0300-0000FC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48" authorId="0" shapeId="0" xr:uid="{00000000-0006-0000-0300-0000FD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48" authorId="0" shapeId="0" xr:uid="{00000000-0006-0000-0300-0000FE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48" authorId="0" shapeId="0" xr:uid="{00000000-0006-0000-0300-0000FF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49" authorId="0" shapeId="0" xr:uid="{00000000-0006-0000-0300-000000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49" authorId="0" shapeId="0" xr:uid="{00000000-0006-0000-0300-000001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49" authorId="0" shapeId="0" xr:uid="{00000000-0006-0000-0300-000002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49" authorId="0" shapeId="0" xr:uid="{00000000-0006-0000-0300-000003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49" authorId="0" shapeId="0" xr:uid="{00000000-0006-0000-0300-000004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49" authorId="0" shapeId="0" xr:uid="{00000000-0006-0000-0300-000005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49" authorId="0" shapeId="0" xr:uid="{00000000-0006-0000-0300-000006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50" authorId="0" shapeId="0" xr:uid="{00000000-0006-0000-0300-000007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50" authorId="0" shapeId="0" xr:uid="{00000000-0006-0000-0300-000008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50" authorId="0" shapeId="0" xr:uid="{00000000-0006-0000-0300-000009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50" authorId="0" shapeId="0" xr:uid="{00000000-0006-0000-0300-00000A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50" authorId="0" shapeId="0" xr:uid="{00000000-0006-0000-0300-00000B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50" authorId="0" shapeId="0" xr:uid="{00000000-0006-0000-0300-00000C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50" authorId="0" shapeId="0" xr:uid="{00000000-0006-0000-0300-00000D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51" authorId="0" shapeId="0" xr:uid="{00000000-0006-0000-0300-00000E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51" authorId="0" shapeId="0" xr:uid="{00000000-0006-0000-0300-00000F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51" authorId="0" shapeId="0" xr:uid="{00000000-0006-0000-0300-000010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51" authorId="0" shapeId="0" xr:uid="{00000000-0006-0000-0300-000011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51" authorId="0" shapeId="0" xr:uid="{00000000-0006-0000-0300-000012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51" authorId="0" shapeId="0" xr:uid="{00000000-0006-0000-0300-000013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51" authorId="0" shapeId="0" xr:uid="{00000000-0006-0000-0300-000014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52" authorId="0" shapeId="0" xr:uid="{00000000-0006-0000-0300-000015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52" authorId="0" shapeId="0" xr:uid="{00000000-0006-0000-0300-000016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52" authorId="0" shapeId="0" xr:uid="{00000000-0006-0000-0300-000017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52" authorId="0" shapeId="0" xr:uid="{00000000-0006-0000-0300-000018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52" authorId="0" shapeId="0" xr:uid="{00000000-0006-0000-0300-000019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52" authorId="0" shapeId="0" xr:uid="{00000000-0006-0000-0300-00001A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52" authorId="0" shapeId="0" xr:uid="{00000000-0006-0000-0300-00001B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53" authorId="0" shapeId="0" xr:uid="{00000000-0006-0000-0300-00001C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53" authorId="0" shapeId="0" xr:uid="{00000000-0006-0000-0300-00001D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53" authorId="0" shapeId="0" xr:uid="{00000000-0006-0000-0300-00001E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53" authorId="0" shapeId="0" xr:uid="{00000000-0006-0000-0300-00001F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53" authorId="0" shapeId="0" xr:uid="{00000000-0006-0000-0300-000020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53" authorId="0" shapeId="0" xr:uid="{00000000-0006-0000-0300-000021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53" authorId="0" shapeId="0" xr:uid="{00000000-0006-0000-0300-000022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54" authorId="0" shapeId="0" xr:uid="{00000000-0006-0000-0300-000023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54" authorId="0" shapeId="0" xr:uid="{00000000-0006-0000-0300-000024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54" authorId="0" shapeId="0" xr:uid="{00000000-0006-0000-0300-000025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54" authorId="0" shapeId="0" xr:uid="{00000000-0006-0000-0300-000026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54" authorId="0" shapeId="0" xr:uid="{00000000-0006-0000-0300-000027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54" authorId="0" shapeId="0" xr:uid="{00000000-0006-0000-0300-000028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54" authorId="0" shapeId="0" xr:uid="{00000000-0006-0000-0300-000029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55" authorId="0" shapeId="0" xr:uid="{00000000-0006-0000-0300-00002A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55" authorId="0" shapeId="0" xr:uid="{00000000-0006-0000-0300-00002B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55" authorId="0" shapeId="0" xr:uid="{00000000-0006-0000-0300-00002C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55" authorId="0" shapeId="0" xr:uid="{00000000-0006-0000-0300-00002D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55" authorId="0" shapeId="0" xr:uid="{00000000-0006-0000-0300-00002E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55" authorId="0" shapeId="0" xr:uid="{00000000-0006-0000-0300-00002F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55" authorId="0" shapeId="0" xr:uid="{00000000-0006-0000-0300-000030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56" authorId="0" shapeId="0" xr:uid="{00000000-0006-0000-0300-000031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56" authorId="0" shapeId="0" xr:uid="{00000000-0006-0000-0300-000032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56" authorId="0" shapeId="0" xr:uid="{00000000-0006-0000-0300-000033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56" authorId="0" shapeId="0" xr:uid="{00000000-0006-0000-0300-000034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56" authorId="0" shapeId="0" xr:uid="{00000000-0006-0000-0300-000035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56" authorId="0" shapeId="0" xr:uid="{00000000-0006-0000-0300-000036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56" authorId="0" shapeId="0" xr:uid="{00000000-0006-0000-0300-000037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57" authorId="0" shapeId="0" xr:uid="{00000000-0006-0000-0300-000038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57" authorId="0" shapeId="0" xr:uid="{00000000-0006-0000-0300-000039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57" authorId="0" shapeId="0" xr:uid="{00000000-0006-0000-0300-00003A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57" authorId="0" shapeId="0" xr:uid="{00000000-0006-0000-0300-00003B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57" authorId="0" shapeId="0" xr:uid="{00000000-0006-0000-0300-00003C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57" authorId="0" shapeId="0" xr:uid="{00000000-0006-0000-0300-00003D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57" authorId="0" shapeId="0" xr:uid="{00000000-0006-0000-0300-00003E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58" authorId="0" shapeId="0" xr:uid="{00000000-0006-0000-0300-00003F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58" authorId="0" shapeId="0" xr:uid="{00000000-0006-0000-0300-000040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58" authorId="0" shapeId="0" xr:uid="{00000000-0006-0000-0300-000041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58" authorId="0" shapeId="0" xr:uid="{00000000-0006-0000-0300-000042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58" authorId="0" shapeId="0" xr:uid="{00000000-0006-0000-0300-000043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58" authorId="0" shapeId="0" xr:uid="{00000000-0006-0000-0300-000044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58" authorId="0" shapeId="0" xr:uid="{00000000-0006-0000-0300-000045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59" authorId="0" shapeId="0" xr:uid="{00000000-0006-0000-0300-000046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59" authorId="0" shapeId="0" xr:uid="{00000000-0006-0000-0300-000047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59" authorId="0" shapeId="0" xr:uid="{00000000-0006-0000-0300-000048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59" authorId="0" shapeId="0" xr:uid="{00000000-0006-0000-0300-000049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59" authorId="0" shapeId="0" xr:uid="{00000000-0006-0000-0300-00004A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59" authorId="0" shapeId="0" xr:uid="{00000000-0006-0000-0300-00004B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59" authorId="0" shapeId="0" xr:uid="{00000000-0006-0000-0300-00004C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60" authorId="0" shapeId="0" xr:uid="{00000000-0006-0000-0300-00004D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60" authorId="0" shapeId="0" xr:uid="{00000000-0006-0000-0300-00004E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60" authorId="0" shapeId="0" xr:uid="{00000000-0006-0000-0300-00004F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60" authorId="0" shapeId="0" xr:uid="{00000000-0006-0000-0300-000050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60" authorId="0" shapeId="0" xr:uid="{00000000-0006-0000-0300-000051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60" authorId="0" shapeId="0" xr:uid="{00000000-0006-0000-0300-000052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60" authorId="0" shapeId="0" xr:uid="{00000000-0006-0000-0300-000053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61" authorId="0" shapeId="0" xr:uid="{00000000-0006-0000-0300-000054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61" authorId="0" shapeId="0" xr:uid="{00000000-0006-0000-0300-000055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61" authorId="0" shapeId="0" xr:uid="{00000000-0006-0000-0300-000056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61" authorId="0" shapeId="0" xr:uid="{00000000-0006-0000-0300-000057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61" authorId="0" shapeId="0" xr:uid="{00000000-0006-0000-0300-000058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61" authorId="0" shapeId="0" xr:uid="{00000000-0006-0000-0300-000059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61" authorId="0" shapeId="0" xr:uid="{00000000-0006-0000-0300-00005A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62" authorId="0" shapeId="0" xr:uid="{00000000-0006-0000-0300-00005B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62" authorId="0" shapeId="0" xr:uid="{00000000-0006-0000-0300-00005C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62" authorId="0" shapeId="0" xr:uid="{00000000-0006-0000-0300-00005D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62" authorId="0" shapeId="0" xr:uid="{00000000-0006-0000-0300-00005E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62" authorId="0" shapeId="0" xr:uid="{00000000-0006-0000-0300-00005F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62" authorId="0" shapeId="0" xr:uid="{00000000-0006-0000-0300-000060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62" authorId="0" shapeId="0" xr:uid="{00000000-0006-0000-0300-000061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63" authorId="0" shapeId="0" xr:uid="{00000000-0006-0000-0300-000062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63" authorId="0" shapeId="0" xr:uid="{00000000-0006-0000-0300-000063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63" authorId="0" shapeId="0" xr:uid="{00000000-0006-0000-0300-000064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63" authorId="0" shapeId="0" xr:uid="{00000000-0006-0000-0300-000065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63" authorId="0" shapeId="0" xr:uid="{00000000-0006-0000-0300-000066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63" authorId="0" shapeId="0" xr:uid="{00000000-0006-0000-0300-000067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63" authorId="0" shapeId="0" xr:uid="{00000000-0006-0000-0300-000068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64" authorId="0" shapeId="0" xr:uid="{00000000-0006-0000-0300-000069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64" authorId="0" shapeId="0" xr:uid="{00000000-0006-0000-0300-00006A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64" authorId="0" shapeId="0" xr:uid="{00000000-0006-0000-0300-00006B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64" authorId="0" shapeId="0" xr:uid="{00000000-0006-0000-0300-00006C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64" authorId="0" shapeId="0" xr:uid="{00000000-0006-0000-0300-00006D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64" authorId="0" shapeId="0" xr:uid="{00000000-0006-0000-0300-00006E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64" authorId="0" shapeId="0" xr:uid="{00000000-0006-0000-0300-00006F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65" authorId="0" shapeId="0" xr:uid="{00000000-0006-0000-0300-000070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65" authorId="0" shapeId="0" xr:uid="{00000000-0006-0000-0300-000071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65" authorId="0" shapeId="0" xr:uid="{00000000-0006-0000-0300-000072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65" authorId="0" shapeId="0" xr:uid="{00000000-0006-0000-0300-000073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65" authorId="0" shapeId="0" xr:uid="{00000000-0006-0000-0300-000074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65" authorId="0" shapeId="0" xr:uid="{00000000-0006-0000-0300-000075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65" authorId="0" shapeId="0" xr:uid="{00000000-0006-0000-0300-000076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66" authorId="0" shapeId="0" xr:uid="{00000000-0006-0000-0300-000077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66" authorId="0" shapeId="0" xr:uid="{00000000-0006-0000-0300-000078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66" authorId="0" shapeId="0" xr:uid="{00000000-0006-0000-0300-000079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66" authorId="0" shapeId="0" xr:uid="{00000000-0006-0000-0300-00007A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66" authorId="0" shapeId="0" xr:uid="{00000000-0006-0000-0300-00007B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66" authorId="0" shapeId="0" xr:uid="{00000000-0006-0000-0300-00007C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66" authorId="0" shapeId="0" xr:uid="{00000000-0006-0000-0300-00007D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67" authorId="0" shapeId="0" xr:uid="{00000000-0006-0000-0300-00007E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67" authorId="0" shapeId="0" xr:uid="{00000000-0006-0000-0300-00007F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67" authorId="0" shapeId="0" xr:uid="{00000000-0006-0000-0300-000080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67" authorId="0" shapeId="0" xr:uid="{00000000-0006-0000-0300-000081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67" authorId="0" shapeId="0" xr:uid="{00000000-0006-0000-0300-000082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67" authorId="0" shapeId="0" xr:uid="{00000000-0006-0000-0300-000083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67" authorId="0" shapeId="0" xr:uid="{00000000-0006-0000-0300-000084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68" authorId="0" shapeId="0" xr:uid="{00000000-0006-0000-0300-000085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68" authorId="0" shapeId="0" xr:uid="{00000000-0006-0000-0300-000086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68" authorId="0" shapeId="0" xr:uid="{00000000-0006-0000-0300-000087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68" authorId="0" shapeId="0" xr:uid="{00000000-0006-0000-0300-000088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68" authorId="0" shapeId="0" xr:uid="{00000000-0006-0000-0300-000089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68" authorId="0" shapeId="0" xr:uid="{00000000-0006-0000-0300-00008A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68" authorId="0" shapeId="0" xr:uid="{00000000-0006-0000-0300-00008B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69" authorId="0" shapeId="0" xr:uid="{00000000-0006-0000-0300-00008C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69" authorId="0" shapeId="0" xr:uid="{00000000-0006-0000-0300-00008D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69" authorId="0" shapeId="0" xr:uid="{00000000-0006-0000-0300-00008E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69" authorId="0" shapeId="0" xr:uid="{00000000-0006-0000-0300-00008F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69" authorId="0" shapeId="0" xr:uid="{00000000-0006-0000-0300-000090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69" authorId="0" shapeId="0" xr:uid="{00000000-0006-0000-0300-000091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69" authorId="0" shapeId="0" xr:uid="{00000000-0006-0000-0300-000092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70" authorId="0" shapeId="0" xr:uid="{00000000-0006-0000-0300-000093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70" authorId="0" shapeId="0" xr:uid="{00000000-0006-0000-0300-000094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70" authorId="0" shapeId="0" xr:uid="{00000000-0006-0000-0300-000095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70" authorId="0" shapeId="0" xr:uid="{00000000-0006-0000-0300-000096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70" authorId="0" shapeId="0" xr:uid="{00000000-0006-0000-0300-000097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70" authorId="0" shapeId="0" xr:uid="{00000000-0006-0000-0300-000098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70" authorId="0" shapeId="0" xr:uid="{00000000-0006-0000-0300-000099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71" authorId="0" shapeId="0" xr:uid="{00000000-0006-0000-0300-00009A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71" authorId="0" shapeId="0" xr:uid="{00000000-0006-0000-0300-00009B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71" authorId="0" shapeId="0" xr:uid="{00000000-0006-0000-0300-00009C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71" authorId="0" shapeId="0" xr:uid="{00000000-0006-0000-0300-00009D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71" authorId="0" shapeId="0" xr:uid="{00000000-0006-0000-0300-00009E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71" authorId="0" shapeId="0" xr:uid="{00000000-0006-0000-0300-00009F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71" authorId="0" shapeId="0" xr:uid="{00000000-0006-0000-0300-0000A0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72" authorId="0" shapeId="0" xr:uid="{00000000-0006-0000-0300-0000A1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72" authorId="0" shapeId="0" xr:uid="{00000000-0006-0000-0300-0000A2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72" authorId="0" shapeId="0" xr:uid="{00000000-0006-0000-0300-0000A3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72" authorId="0" shapeId="0" xr:uid="{00000000-0006-0000-0300-0000A4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72" authorId="0" shapeId="0" xr:uid="{00000000-0006-0000-0300-0000A5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72" authorId="0" shapeId="0" xr:uid="{00000000-0006-0000-0300-0000A6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72" authorId="0" shapeId="0" xr:uid="{00000000-0006-0000-0300-0000A7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73" authorId="0" shapeId="0" xr:uid="{00000000-0006-0000-0300-0000A8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73" authorId="0" shapeId="0" xr:uid="{00000000-0006-0000-0300-0000A9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73" authorId="0" shapeId="0" xr:uid="{00000000-0006-0000-0300-0000AA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73" authorId="0" shapeId="0" xr:uid="{00000000-0006-0000-0300-0000AB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73" authorId="0" shapeId="0" xr:uid="{00000000-0006-0000-0300-0000AC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73" authorId="0" shapeId="0" xr:uid="{00000000-0006-0000-0300-0000AD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73" authorId="0" shapeId="0" xr:uid="{00000000-0006-0000-0300-0000AE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74" authorId="0" shapeId="0" xr:uid="{00000000-0006-0000-0300-0000AF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74" authorId="0" shapeId="0" xr:uid="{00000000-0006-0000-0300-0000B0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74" authorId="0" shapeId="0" xr:uid="{00000000-0006-0000-0300-0000B1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74" authorId="0" shapeId="0" xr:uid="{00000000-0006-0000-0300-0000B2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74" authorId="0" shapeId="0" xr:uid="{00000000-0006-0000-0300-0000B3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74" authorId="0" shapeId="0" xr:uid="{00000000-0006-0000-0300-0000B4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74" authorId="0" shapeId="0" xr:uid="{00000000-0006-0000-0300-0000B5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75" authorId="0" shapeId="0" xr:uid="{00000000-0006-0000-0300-0000B6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75" authorId="0" shapeId="0" xr:uid="{00000000-0006-0000-0300-0000B7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75" authorId="0" shapeId="0" xr:uid="{00000000-0006-0000-0300-0000B8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75" authorId="0" shapeId="0" xr:uid="{00000000-0006-0000-0300-0000B9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75" authorId="0" shapeId="0" xr:uid="{00000000-0006-0000-0300-0000BA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75" authorId="0" shapeId="0" xr:uid="{00000000-0006-0000-0300-0000BB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75" authorId="0" shapeId="0" xr:uid="{00000000-0006-0000-0300-0000BC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76" authorId="0" shapeId="0" xr:uid="{00000000-0006-0000-0300-0000BD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76" authorId="0" shapeId="0" xr:uid="{00000000-0006-0000-0300-0000BE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76" authorId="0" shapeId="0" xr:uid="{00000000-0006-0000-0300-0000BF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76" authorId="0" shapeId="0" xr:uid="{00000000-0006-0000-0300-0000C0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76" authorId="0" shapeId="0" xr:uid="{00000000-0006-0000-0300-0000C1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76" authorId="0" shapeId="0" xr:uid="{00000000-0006-0000-0300-0000C2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76" authorId="0" shapeId="0" xr:uid="{00000000-0006-0000-0300-0000C3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77" authorId="0" shapeId="0" xr:uid="{00000000-0006-0000-0300-0000C4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77" authorId="0" shapeId="0" xr:uid="{00000000-0006-0000-0300-0000C5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77" authorId="0" shapeId="0" xr:uid="{00000000-0006-0000-0300-0000C6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77" authorId="0" shapeId="0" xr:uid="{00000000-0006-0000-0300-0000C7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77" authorId="0" shapeId="0" xr:uid="{00000000-0006-0000-0300-0000C8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77" authorId="0" shapeId="0" xr:uid="{00000000-0006-0000-0300-0000C9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77" authorId="0" shapeId="0" xr:uid="{00000000-0006-0000-0300-0000CA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78" authorId="0" shapeId="0" xr:uid="{00000000-0006-0000-0300-0000CB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78" authorId="0" shapeId="0" xr:uid="{00000000-0006-0000-0300-0000CC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78" authorId="0" shapeId="0" xr:uid="{00000000-0006-0000-0300-0000CD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78" authorId="0" shapeId="0" xr:uid="{00000000-0006-0000-0300-0000CE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78" authorId="0" shapeId="0" xr:uid="{00000000-0006-0000-0300-0000CF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78" authorId="0" shapeId="0" xr:uid="{00000000-0006-0000-0300-0000D0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78" authorId="0" shapeId="0" xr:uid="{00000000-0006-0000-0300-0000D1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79" authorId="0" shapeId="0" xr:uid="{00000000-0006-0000-0300-0000D2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79" authorId="0" shapeId="0" xr:uid="{00000000-0006-0000-0300-0000D3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79" authorId="0" shapeId="0" xr:uid="{00000000-0006-0000-0300-0000D4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79" authorId="0" shapeId="0" xr:uid="{00000000-0006-0000-0300-0000D5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79" authorId="0" shapeId="0" xr:uid="{00000000-0006-0000-0300-0000D6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79" authorId="0" shapeId="0" xr:uid="{00000000-0006-0000-0300-0000D7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79" authorId="0" shapeId="0" xr:uid="{00000000-0006-0000-0300-0000D8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80" authorId="0" shapeId="0" xr:uid="{00000000-0006-0000-0300-0000D9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80" authorId="0" shapeId="0" xr:uid="{00000000-0006-0000-0300-0000DA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80" authorId="0" shapeId="0" xr:uid="{00000000-0006-0000-0300-0000DB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80" authorId="0" shapeId="0" xr:uid="{00000000-0006-0000-0300-0000DC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80" authorId="0" shapeId="0" xr:uid="{00000000-0006-0000-0300-0000DD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80" authorId="0" shapeId="0" xr:uid="{00000000-0006-0000-0300-0000DE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80" authorId="0" shapeId="0" xr:uid="{00000000-0006-0000-0300-0000DF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81" authorId="0" shapeId="0" xr:uid="{00000000-0006-0000-0300-0000E0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81" authorId="0" shapeId="0" xr:uid="{00000000-0006-0000-0300-0000E1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81" authorId="0" shapeId="0" xr:uid="{00000000-0006-0000-0300-0000E2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81" authorId="0" shapeId="0" xr:uid="{00000000-0006-0000-0300-0000E3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81" authorId="0" shapeId="0" xr:uid="{00000000-0006-0000-0300-0000E4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81" authorId="0" shapeId="0" xr:uid="{00000000-0006-0000-0300-0000E5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81" authorId="0" shapeId="0" xr:uid="{00000000-0006-0000-0300-0000E6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82" authorId="0" shapeId="0" xr:uid="{00000000-0006-0000-0300-0000E7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82" authorId="0" shapeId="0" xr:uid="{00000000-0006-0000-0300-0000E8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82" authorId="0" shapeId="0" xr:uid="{00000000-0006-0000-0300-0000E9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82" authorId="0" shapeId="0" xr:uid="{00000000-0006-0000-0300-0000EA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82" authorId="0" shapeId="0" xr:uid="{00000000-0006-0000-0300-0000EB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82" authorId="0" shapeId="0" xr:uid="{00000000-0006-0000-0300-0000EC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82" authorId="0" shapeId="0" xr:uid="{00000000-0006-0000-0300-0000ED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83" authorId="0" shapeId="0" xr:uid="{00000000-0006-0000-0300-0000EE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83" authorId="0" shapeId="0" xr:uid="{00000000-0006-0000-0300-0000EF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83" authorId="0" shapeId="0" xr:uid="{00000000-0006-0000-0300-0000F0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83" authorId="0" shapeId="0" xr:uid="{00000000-0006-0000-0300-0000F1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83" authorId="0" shapeId="0" xr:uid="{00000000-0006-0000-0300-0000F2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83" authorId="0" shapeId="0" xr:uid="{00000000-0006-0000-0300-0000F3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83" authorId="0" shapeId="0" xr:uid="{00000000-0006-0000-0300-0000F4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84" authorId="0" shapeId="0" xr:uid="{00000000-0006-0000-0300-0000F5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84" authorId="0" shapeId="0" xr:uid="{00000000-0006-0000-0300-0000F6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84" authorId="0" shapeId="0" xr:uid="{00000000-0006-0000-0300-0000F7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84" authorId="0" shapeId="0" xr:uid="{00000000-0006-0000-0300-0000F8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84" authorId="0" shapeId="0" xr:uid="{00000000-0006-0000-0300-0000F9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84" authorId="0" shapeId="0" xr:uid="{00000000-0006-0000-0300-0000FA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84" authorId="0" shapeId="0" xr:uid="{00000000-0006-0000-0300-0000FB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85" authorId="0" shapeId="0" xr:uid="{00000000-0006-0000-0300-0000FC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85" authorId="0" shapeId="0" xr:uid="{00000000-0006-0000-0300-0000FD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85" authorId="0" shapeId="0" xr:uid="{00000000-0006-0000-0300-0000FE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85" authorId="0" shapeId="0" xr:uid="{00000000-0006-0000-0300-0000FF01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85" authorId="0" shapeId="0" xr:uid="{00000000-0006-0000-0300-000000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85" authorId="0" shapeId="0" xr:uid="{00000000-0006-0000-0300-000001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85" authorId="0" shapeId="0" xr:uid="{00000000-0006-0000-0300-000002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86" authorId="0" shapeId="0" xr:uid="{00000000-0006-0000-0300-000003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86" authorId="0" shapeId="0" xr:uid="{00000000-0006-0000-0300-000004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86" authorId="0" shapeId="0" xr:uid="{00000000-0006-0000-0300-000005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86" authorId="0" shapeId="0" xr:uid="{00000000-0006-0000-0300-000006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86" authorId="0" shapeId="0" xr:uid="{00000000-0006-0000-0300-000007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86" authorId="0" shapeId="0" xr:uid="{00000000-0006-0000-0300-000008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86" authorId="0" shapeId="0" xr:uid="{00000000-0006-0000-0300-000009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87" authorId="0" shapeId="0" xr:uid="{00000000-0006-0000-0300-00000A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87" authorId="0" shapeId="0" xr:uid="{00000000-0006-0000-0300-00000B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87" authorId="0" shapeId="0" xr:uid="{00000000-0006-0000-0300-00000C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87" authorId="0" shapeId="0" xr:uid="{00000000-0006-0000-0300-00000D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87" authorId="0" shapeId="0" xr:uid="{00000000-0006-0000-0300-00000E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87" authorId="0" shapeId="0" xr:uid="{00000000-0006-0000-0300-00000F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87" authorId="0" shapeId="0" xr:uid="{00000000-0006-0000-0300-000010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88" authorId="0" shapeId="0" xr:uid="{00000000-0006-0000-0300-000011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88" authorId="0" shapeId="0" xr:uid="{00000000-0006-0000-0300-000012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88" authorId="0" shapeId="0" xr:uid="{00000000-0006-0000-0300-000013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88" authorId="0" shapeId="0" xr:uid="{00000000-0006-0000-0300-000014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88" authorId="0" shapeId="0" xr:uid="{00000000-0006-0000-0300-000015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88" authorId="0" shapeId="0" xr:uid="{00000000-0006-0000-0300-000016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88" authorId="0" shapeId="0" xr:uid="{00000000-0006-0000-0300-000017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89" authorId="0" shapeId="0" xr:uid="{00000000-0006-0000-0300-000018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89" authorId="0" shapeId="0" xr:uid="{00000000-0006-0000-0300-000019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89" authorId="0" shapeId="0" xr:uid="{00000000-0006-0000-0300-00001A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89" authorId="0" shapeId="0" xr:uid="{00000000-0006-0000-0300-00001B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89" authorId="0" shapeId="0" xr:uid="{00000000-0006-0000-0300-00001C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89" authorId="0" shapeId="0" xr:uid="{00000000-0006-0000-0300-00001D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89" authorId="0" shapeId="0" xr:uid="{00000000-0006-0000-0300-00001E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90" authorId="0" shapeId="0" xr:uid="{00000000-0006-0000-0300-00001F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90" authorId="0" shapeId="0" xr:uid="{00000000-0006-0000-0300-000020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90" authorId="0" shapeId="0" xr:uid="{00000000-0006-0000-0300-000021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90" authorId="0" shapeId="0" xr:uid="{00000000-0006-0000-0300-000022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90" authorId="0" shapeId="0" xr:uid="{00000000-0006-0000-0300-000023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90" authorId="0" shapeId="0" xr:uid="{00000000-0006-0000-0300-000024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90" authorId="0" shapeId="0" xr:uid="{00000000-0006-0000-0300-000025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91" authorId="0" shapeId="0" xr:uid="{00000000-0006-0000-0300-000026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91" authorId="0" shapeId="0" xr:uid="{00000000-0006-0000-0300-000027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91" authorId="0" shapeId="0" xr:uid="{00000000-0006-0000-0300-000028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91" authorId="0" shapeId="0" xr:uid="{00000000-0006-0000-0300-000029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91" authorId="0" shapeId="0" xr:uid="{00000000-0006-0000-0300-00002A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91" authorId="0" shapeId="0" xr:uid="{00000000-0006-0000-0300-00002B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91" authorId="0" shapeId="0" xr:uid="{00000000-0006-0000-0300-00002C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92" authorId="0" shapeId="0" xr:uid="{00000000-0006-0000-0300-00002D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92" authorId="0" shapeId="0" xr:uid="{00000000-0006-0000-0300-00002E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92" authorId="0" shapeId="0" xr:uid="{00000000-0006-0000-0300-00002F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92" authorId="0" shapeId="0" xr:uid="{00000000-0006-0000-0300-000030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92" authorId="0" shapeId="0" xr:uid="{00000000-0006-0000-0300-000031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92" authorId="0" shapeId="0" xr:uid="{00000000-0006-0000-0300-000032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92" authorId="0" shapeId="0" xr:uid="{00000000-0006-0000-0300-000033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93" authorId="0" shapeId="0" xr:uid="{00000000-0006-0000-0300-000034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93" authorId="0" shapeId="0" xr:uid="{00000000-0006-0000-0300-000035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93" authorId="0" shapeId="0" xr:uid="{00000000-0006-0000-0300-000036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93" authorId="0" shapeId="0" xr:uid="{00000000-0006-0000-0300-000037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93" authorId="0" shapeId="0" xr:uid="{00000000-0006-0000-0300-000038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93" authorId="0" shapeId="0" xr:uid="{00000000-0006-0000-0300-000039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93" authorId="0" shapeId="0" xr:uid="{00000000-0006-0000-0300-00003A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94" authorId="0" shapeId="0" xr:uid="{00000000-0006-0000-0300-00003B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94" authorId="0" shapeId="0" xr:uid="{00000000-0006-0000-0300-00003C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94" authorId="0" shapeId="0" xr:uid="{00000000-0006-0000-0300-00003D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94" authorId="0" shapeId="0" xr:uid="{00000000-0006-0000-0300-00003E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94" authorId="0" shapeId="0" xr:uid="{00000000-0006-0000-0300-00003F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94" authorId="0" shapeId="0" xr:uid="{00000000-0006-0000-0300-000040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94" authorId="0" shapeId="0" xr:uid="{00000000-0006-0000-0300-000041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95" authorId="0" shapeId="0" xr:uid="{00000000-0006-0000-0300-000042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95" authorId="0" shapeId="0" xr:uid="{00000000-0006-0000-0300-000043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95" authorId="0" shapeId="0" xr:uid="{00000000-0006-0000-0300-000044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95" authorId="0" shapeId="0" xr:uid="{00000000-0006-0000-0300-000045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95" authorId="0" shapeId="0" xr:uid="{00000000-0006-0000-0300-000046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95" authorId="0" shapeId="0" xr:uid="{00000000-0006-0000-0300-000047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95" authorId="0" shapeId="0" xr:uid="{00000000-0006-0000-0300-000048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96" authorId="0" shapeId="0" xr:uid="{00000000-0006-0000-0300-000049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96" authorId="0" shapeId="0" xr:uid="{00000000-0006-0000-0300-00004A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96" authorId="0" shapeId="0" xr:uid="{00000000-0006-0000-0300-00004B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96" authorId="0" shapeId="0" xr:uid="{00000000-0006-0000-0300-00004C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96" authorId="0" shapeId="0" xr:uid="{00000000-0006-0000-0300-00004D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96" authorId="0" shapeId="0" xr:uid="{00000000-0006-0000-0300-00004E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96" authorId="0" shapeId="0" xr:uid="{00000000-0006-0000-0300-00004F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97" authorId="0" shapeId="0" xr:uid="{00000000-0006-0000-0300-000050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97" authorId="0" shapeId="0" xr:uid="{00000000-0006-0000-0300-000051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97" authorId="0" shapeId="0" xr:uid="{00000000-0006-0000-0300-000052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97" authorId="0" shapeId="0" xr:uid="{00000000-0006-0000-0300-000053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97" authorId="0" shapeId="0" xr:uid="{00000000-0006-0000-0300-000054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97" authorId="0" shapeId="0" xr:uid="{00000000-0006-0000-0300-000055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97" authorId="0" shapeId="0" xr:uid="{00000000-0006-0000-0300-000056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98" authorId="0" shapeId="0" xr:uid="{00000000-0006-0000-0300-000057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98" authorId="0" shapeId="0" xr:uid="{00000000-0006-0000-0300-000058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98" authorId="0" shapeId="0" xr:uid="{00000000-0006-0000-0300-000059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98" authorId="0" shapeId="0" xr:uid="{00000000-0006-0000-0300-00005A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98" authorId="0" shapeId="0" xr:uid="{00000000-0006-0000-0300-00005B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98" authorId="0" shapeId="0" xr:uid="{00000000-0006-0000-0300-00005C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98" authorId="0" shapeId="0" xr:uid="{00000000-0006-0000-0300-00005D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99" authorId="0" shapeId="0" xr:uid="{00000000-0006-0000-0300-00005E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99" authorId="0" shapeId="0" xr:uid="{00000000-0006-0000-0300-00005F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99" authorId="0" shapeId="0" xr:uid="{00000000-0006-0000-0300-000060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99" authorId="0" shapeId="0" xr:uid="{00000000-0006-0000-0300-000061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99" authorId="0" shapeId="0" xr:uid="{00000000-0006-0000-0300-000062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99" authorId="0" shapeId="0" xr:uid="{00000000-0006-0000-0300-000063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99" authorId="0" shapeId="0" xr:uid="{00000000-0006-0000-0300-000064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100" authorId="0" shapeId="0" xr:uid="{00000000-0006-0000-0300-000065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100" authorId="0" shapeId="0" xr:uid="{00000000-0006-0000-0300-000066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100" authorId="0" shapeId="0" xr:uid="{00000000-0006-0000-0300-000067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100" authorId="0" shapeId="0" xr:uid="{00000000-0006-0000-0300-000068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100" authorId="0" shapeId="0" xr:uid="{00000000-0006-0000-0300-000069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100" authorId="0" shapeId="0" xr:uid="{00000000-0006-0000-0300-00006A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100" authorId="0" shapeId="0" xr:uid="{00000000-0006-0000-0300-00006B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101" authorId="0" shapeId="0" xr:uid="{00000000-0006-0000-0300-00006C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101" authorId="0" shapeId="0" xr:uid="{00000000-0006-0000-0300-00006D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101" authorId="0" shapeId="0" xr:uid="{00000000-0006-0000-0300-00006E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101" authorId="0" shapeId="0" xr:uid="{00000000-0006-0000-0300-00006F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101" authorId="0" shapeId="0" xr:uid="{00000000-0006-0000-0300-000070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101" authorId="0" shapeId="0" xr:uid="{00000000-0006-0000-0300-000071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101" authorId="0" shapeId="0" xr:uid="{00000000-0006-0000-0300-000072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102" authorId="0" shapeId="0" xr:uid="{00000000-0006-0000-0300-000073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102" authorId="0" shapeId="0" xr:uid="{00000000-0006-0000-0300-000074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102" authorId="0" shapeId="0" xr:uid="{00000000-0006-0000-0300-000075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102" authorId="0" shapeId="0" xr:uid="{00000000-0006-0000-0300-000076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102" authorId="0" shapeId="0" xr:uid="{00000000-0006-0000-0300-000077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102" authorId="0" shapeId="0" xr:uid="{00000000-0006-0000-0300-000078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102" authorId="0" shapeId="0" xr:uid="{00000000-0006-0000-0300-000079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103" authorId="0" shapeId="0" xr:uid="{00000000-0006-0000-0300-00007A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103" authorId="0" shapeId="0" xr:uid="{00000000-0006-0000-0300-00007B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103" authorId="0" shapeId="0" xr:uid="{00000000-0006-0000-0300-00007C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103" authorId="0" shapeId="0" xr:uid="{00000000-0006-0000-0300-00007D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103" authorId="0" shapeId="0" xr:uid="{00000000-0006-0000-0300-00007E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103" authorId="0" shapeId="0" xr:uid="{00000000-0006-0000-0300-00007F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103" authorId="0" shapeId="0" xr:uid="{00000000-0006-0000-0300-000080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104" authorId="0" shapeId="0" xr:uid="{00000000-0006-0000-0300-000081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104" authorId="0" shapeId="0" xr:uid="{00000000-0006-0000-0300-000082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104" authorId="0" shapeId="0" xr:uid="{00000000-0006-0000-0300-000083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104" authorId="0" shapeId="0" xr:uid="{00000000-0006-0000-0300-000084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104" authorId="0" shapeId="0" xr:uid="{00000000-0006-0000-0300-000085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104" authorId="0" shapeId="0" xr:uid="{00000000-0006-0000-0300-000086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104" authorId="0" shapeId="0" xr:uid="{00000000-0006-0000-0300-000087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105" authorId="0" shapeId="0" xr:uid="{00000000-0006-0000-0300-000088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105" authorId="0" shapeId="0" xr:uid="{00000000-0006-0000-0300-000089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105" authorId="0" shapeId="0" xr:uid="{00000000-0006-0000-0300-00008A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105" authorId="0" shapeId="0" xr:uid="{00000000-0006-0000-0300-00008B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105" authorId="0" shapeId="0" xr:uid="{00000000-0006-0000-0300-00008C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105" authorId="0" shapeId="0" xr:uid="{00000000-0006-0000-0300-00008D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105" authorId="0" shapeId="0" xr:uid="{00000000-0006-0000-0300-00008E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106" authorId="0" shapeId="0" xr:uid="{00000000-0006-0000-0300-00008F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106" authorId="0" shapeId="0" xr:uid="{00000000-0006-0000-0300-000090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106" authorId="0" shapeId="0" xr:uid="{00000000-0006-0000-0300-000091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106" authorId="0" shapeId="0" xr:uid="{00000000-0006-0000-0300-000092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106" authorId="0" shapeId="0" xr:uid="{00000000-0006-0000-0300-000093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106" authorId="0" shapeId="0" xr:uid="{00000000-0006-0000-0300-000094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106" authorId="0" shapeId="0" xr:uid="{00000000-0006-0000-0300-000095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107" authorId="0" shapeId="0" xr:uid="{00000000-0006-0000-0300-000096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107" authorId="0" shapeId="0" xr:uid="{00000000-0006-0000-0300-000097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107" authorId="0" shapeId="0" xr:uid="{00000000-0006-0000-0300-000098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107" authorId="0" shapeId="0" xr:uid="{00000000-0006-0000-0300-000099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107" authorId="0" shapeId="0" xr:uid="{00000000-0006-0000-0300-00009A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107" authorId="0" shapeId="0" xr:uid="{00000000-0006-0000-0300-00009B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107" authorId="0" shapeId="0" xr:uid="{00000000-0006-0000-0300-00009C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108" authorId="0" shapeId="0" xr:uid="{00000000-0006-0000-0300-00009D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108" authorId="0" shapeId="0" xr:uid="{00000000-0006-0000-0300-00009E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108" authorId="0" shapeId="0" xr:uid="{00000000-0006-0000-0300-00009F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108" authorId="0" shapeId="0" xr:uid="{00000000-0006-0000-0300-0000A0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108" authorId="0" shapeId="0" xr:uid="{00000000-0006-0000-0300-0000A1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108" authorId="0" shapeId="0" xr:uid="{00000000-0006-0000-0300-0000A2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108" authorId="0" shapeId="0" xr:uid="{00000000-0006-0000-0300-0000A3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109" authorId="0" shapeId="0" xr:uid="{00000000-0006-0000-0300-0000A4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109" authorId="0" shapeId="0" xr:uid="{00000000-0006-0000-0300-0000A5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109" authorId="0" shapeId="0" xr:uid="{00000000-0006-0000-0300-0000A6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109" authorId="0" shapeId="0" xr:uid="{00000000-0006-0000-0300-0000A7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109" authorId="0" shapeId="0" xr:uid="{00000000-0006-0000-0300-0000A8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109" authorId="0" shapeId="0" xr:uid="{00000000-0006-0000-0300-0000A9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109" authorId="0" shapeId="0" xr:uid="{00000000-0006-0000-0300-0000AA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110" authorId="0" shapeId="0" xr:uid="{00000000-0006-0000-0300-0000AB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110" authorId="0" shapeId="0" xr:uid="{00000000-0006-0000-0300-0000AC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110" authorId="0" shapeId="0" xr:uid="{00000000-0006-0000-0300-0000AD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110" authorId="0" shapeId="0" xr:uid="{00000000-0006-0000-0300-0000AE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110" authorId="0" shapeId="0" xr:uid="{00000000-0006-0000-0300-0000AF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110" authorId="0" shapeId="0" xr:uid="{00000000-0006-0000-0300-0000B0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110" authorId="0" shapeId="0" xr:uid="{00000000-0006-0000-0300-0000B1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111" authorId="0" shapeId="0" xr:uid="{00000000-0006-0000-0300-0000B2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111" authorId="0" shapeId="0" xr:uid="{00000000-0006-0000-0300-0000B3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111" authorId="0" shapeId="0" xr:uid="{00000000-0006-0000-0300-0000B4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111" authorId="0" shapeId="0" xr:uid="{00000000-0006-0000-0300-0000B5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111" authorId="0" shapeId="0" xr:uid="{00000000-0006-0000-0300-0000B6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111" authorId="0" shapeId="0" xr:uid="{00000000-0006-0000-0300-0000B7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111" authorId="0" shapeId="0" xr:uid="{00000000-0006-0000-0300-0000B8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112" authorId="0" shapeId="0" xr:uid="{00000000-0006-0000-0300-0000B9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112" authorId="0" shapeId="0" xr:uid="{00000000-0006-0000-0300-0000BA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112" authorId="0" shapeId="0" xr:uid="{00000000-0006-0000-0300-0000BB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112" authorId="0" shapeId="0" xr:uid="{00000000-0006-0000-0300-0000BC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112" authorId="0" shapeId="0" xr:uid="{00000000-0006-0000-0300-0000BD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112" authorId="0" shapeId="0" xr:uid="{00000000-0006-0000-0300-0000BE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112" authorId="0" shapeId="0" xr:uid="{00000000-0006-0000-0300-0000BF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113" authorId="0" shapeId="0" xr:uid="{00000000-0006-0000-0300-0000C0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113" authorId="0" shapeId="0" xr:uid="{00000000-0006-0000-0300-0000C1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113" authorId="0" shapeId="0" xr:uid="{00000000-0006-0000-0300-0000C2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113" authorId="0" shapeId="0" xr:uid="{00000000-0006-0000-0300-0000C3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113" authorId="0" shapeId="0" xr:uid="{00000000-0006-0000-0300-0000C4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113" authorId="0" shapeId="0" xr:uid="{00000000-0006-0000-0300-0000C5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113" authorId="0" shapeId="0" xr:uid="{00000000-0006-0000-0300-0000C6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114" authorId="0" shapeId="0" xr:uid="{00000000-0006-0000-0300-0000C7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114" authorId="0" shapeId="0" xr:uid="{00000000-0006-0000-0300-0000C8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114" authorId="0" shapeId="0" xr:uid="{00000000-0006-0000-0300-0000C9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114" authorId="0" shapeId="0" xr:uid="{00000000-0006-0000-0300-0000CA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114" authorId="0" shapeId="0" xr:uid="{00000000-0006-0000-0300-0000CB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114" authorId="0" shapeId="0" xr:uid="{00000000-0006-0000-0300-0000CC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114" authorId="0" shapeId="0" xr:uid="{00000000-0006-0000-0300-0000CD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115" authorId="0" shapeId="0" xr:uid="{00000000-0006-0000-0300-0000CE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115" authorId="0" shapeId="0" xr:uid="{00000000-0006-0000-0300-0000CF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115" authorId="0" shapeId="0" xr:uid="{00000000-0006-0000-0300-0000D0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115" authorId="0" shapeId="0" xr:uid="{00000000-0006-0000-0300-0000D1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115" authorId="0" shapeId="0" xr:uid="{00000000-0006-0000-0300-0000D2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115" authorId="0" shapeId="0" xr:uid="{00000000-0006-0000-0300-0000D3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115" authorId="0" shapeId="0" xr:uid="{00000000-0006-0000-0300-0000D4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116" authorId="0" shapeId="0" xr:uid="{00000000-0006-0000-0300-0000D5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116" authorId="0" shapeId="0" xr:uid="{00000000-0006-0000-0300-0000D6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116" authorId="0" shapeId="0" xr:uid="{00000000-0006-0000-0300-0000D7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116" authorId="0" shapeId="0" xr:uid="{00000000-0006-0000-0300-0000D8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116" authorId="0" shapeId="0" xr:uid="{00000000-0006-0000-0300-0000D9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116" authorId="0" shapeId="0" xr:uid="{00000000-0006-0000-0300-0000DA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116" authorId="0" shapeId="0" xr:uid="{00000000-0006-0000-0300-0000DB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117" authorId="0" shapeId="0" xr:uid="{00000000-0006-0000-0300-0000DC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117" authorId="0" shapeId="0" xr:uid="{00000000-0006-0000-0300-0000DD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117" authorId="0" shapeId="0" xr:uid="{00000000-0006-0000-0300-0000DE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117" authorId="0" shapeId="0" xr:uid="{00000000-0006-0000-0300-0000DF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117" authorId="0" shapeId="0" xr:uid="{00000000-0006-0000-0300-0000E0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117" authorId="0" shapeId="0" xr:uid="{00000000-0006-0000-0300-0000E1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117" authorId="0" shapeId="0" xr:uid="{00000000-0006-0000-0300-0000E2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118" authorId="0" shapeId="0" xr:uid="{00000000-0006-0000-0300-0000E3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118" authorId="0" shapeId="0" xr:uid="{00000000-0006-0000-0300-0000E4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118" authorId="0" shapeId="0" xr:uid="{00000000-0006-0000-0300-0000E5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118" authorId="0" shapeId="0" xr:uid="{00000000-0006-0000-0300-0000E6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118" authorId="0" shapeId="0" xr:uid="{00000000-0006-0000-0300-0000E7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118" authorId="0" shapeId="0" xr:uid="{00000000-0006-0000-0300-0000E8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118" authorId="0" shapeId="0" xr:uid="{00000000-0006-0000-0300-0000E9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119" authorId="0" shapeId="0" xr:uid="{00000000-0006-0000-0300-0000EA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119" authorId="0" shapeId="0" xr:uid="{00000000-0006-0000-0300-0000EB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119" authorId="0" shapeId="0" xr:uid="{00000000-0006-0000-0300-0000EC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119" authorId="0" shapeId="0" xr:uid="{00000000-0006-0000-0300-0000ED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119" authorId="0" shapeId="0" xr:uid="{00000000-0006-0000-0300-0000EE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119" authorId="0" shapeId="0" xr:uid="{00000000-0006-0000-0300-0000EF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119" authorId="0" shapeId="0" xr:uid="{00000000-0006-0000-0300-0000F0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120" authorId="0" shapeId="0" xr:uid="{00000000-0006-0000-0300-0000F1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120" authorId="0" shapeId="0" xr:uid="{00000000-0006-0000-0300-0000F2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120" authorId="0" shapeId="0" xr:uid="{00000000-0006-0000-0300-0000F3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120" authorId="0" shapeId="0" xr:uid="{00000000-0006-0000-0300-0000F4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120" authorId="0" shapeId="0" xr:uid="{00000000-0006-0000-0300-0000F5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120" authorId="0" shapeId="0" xr:uid="{00000000-0006-0000-0300-0000F6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120" authorId="0" shapeId="0" xr:uid="{00000000-0006-0000-0300-0000F7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121" authorId="0" shapeId="0" xr:uid="{00000000-0006-0000-0300-0000F8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121" authorId="0" shapeId="0" xr:uid="{00000000-0006-0000-0300-0000F9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121" authorId="0" shapeId="0" xr:uid="{00000000-0006-0000-0300-0000FA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121" authorId="0" shapeId="0" xr:uid="{00000000-0006-0000-0300-0000FB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121" authorId="0" shapeId="0" xr:uid="{00000000-0006-0000-0300-0000FC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121" authorId="0" shapeId="0" xr:uid="{00000000-0006-0000-0300-0000FD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121" authorId="0" shapeId="0" xr:uid="{00000000-0006-0000-0300-0000FE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122" authorId="0" shapeId="0" xr:uid="{00000000-0006-0000-0300-0000FF02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122" authorId="0" shapeId="0" xr:uid="{00000000-0006-0000-0300-000000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122" authorId="0" shapeId="0" xr:uid="{00000000-0006-0000-0300-000001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122" authorId="0" shapeId="0" xr:uid="{00000000-0006-0000-0300-000002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122" authorId="0" shapeId="0" xr:uid="{00000000-0006-0000-0300-000003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122" authorId="0" shapeId="0" xr:uid="{00000000-0006-0000-0300-000004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122" authorId="0" shapeId="0" xr:uid="{00000000-0006-0000-0300-000005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123" authorId="0" shapeId="0" xr:uid="{00000000-0006-0000-0300-000006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123" authorId="0" shapeId="0" xr:uid="{00000000-0006-0000-0300-000007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123" authorId="0" shapeId="0" xr:uid="{00000000-0006-0000-0300-000008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123" authorId="0" shapeId="0" xr:uid="{00000000-0006-0000-0300-000009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123" authorId="0" shapeId="0" xr:uid="{00000000-0006-0000-0300-00000A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123" authorId="0" shapeId="0" xr:uid="{00000000-0006-0000-0300-00000B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123" authorId="0" shapeId="0" xr:uid="{00000000-0006-0000-0300-00000C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124" authorId="0" shapeId="0" xr:uid="{00000000-0006-0000-0300-00000D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124" authorId="0" shapeId="0" xr:uid="{00000000-0006-0000-0300-00000E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124" authorId="0" shapeId="0" xr:uid="{00000000-0006-0000-0300-00000F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124" authorId="0" shapeId="0" xr:uid="{00000000-0006-0000-0300-000010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124" authorId="0" shapeId="0" xr:uid="{00000000-0006-0000-0300-000011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124" authorId="0" shapeId="0" xr:uid="{00000000-0006-0000-0300-000012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124" authorId="0" shapeId="0" xr:uid="{00000000-0006-0000-0300-000013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125" authorId="0" shapeId="0" xr:uid="{00000000-0006-0000-0300-000014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125" authorId="0" shapeId="0" xr:uid="{00000000-0006-0000-0300-000015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125" authorId="0" shapeId="0" xr:uid="{00000000-0006-0000-0300-000016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125" authorId="0" shapeId="0" xr:uid="{00000000-0006-0000-0300-000017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125" authorId="0" shapeId="0" xr:uid="{00000000-0006-0000-0300-000018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125" authorId="0" shapeId="0" xr:uid="{00000000-0006-0000-0300-000019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125" authorId="0" shapeId="0" xr:uid="{00000000-0006-0000-0300-00001A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126" authorId="0" shapeId="0" xr:uid="{00000000-0006-0000-0300-00001B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126" authorId="0" shapeId="0" xr:uid="{00000000-0006-0000-0300-00001C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126" authorId="0" shapeId="0" xr:uid="{00000000-0006-0000-0300-00001D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126" authorId="0" shapeId="0" xr:uid="{00000000-0006-0000-0300-00001E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126" authorId="0" shapeId="0" xr:uid="{00000000-0006-0000-0300-00001F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126" authorId="0" shapeId="0" xr:uid="{00000000-0006-0000-0300-000020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126" authorId="0" shapeId="0" xr:uid="{00000000-0006-0000-0300-000021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127" authorId="0" shapeId="0" xr:uid="{00000000-0006-0000-0300-000022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127" authorId="0" shapeId="0" xr:uid="{00000000-0006-0000-0300-000023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127" authorId="0" shapeId="0" xr:uid="{00000000-0006-0000-0300-000024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127" authorId="0" shapeId="0" xr:uid="{00000000-0006-0000-0300-000025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127" authorId="0" shapeId="0" xr:uid="{00000000-0006-0000-0300-000026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127" authorId="0" shapeId="0" xr:uid="{00000000-0006-0000-0300-000027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127" authorId="0" shapeId="0" xr:uid="{00000000-0006-0000-0300-000028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128" authorId="0" shapeId="0" xr:uid="{00000000-0006-0000-0300-000029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128" authorId="0" shapeId="0" xr:uid="{00000000-0006-0000-0300-00002A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128" authorId="0" shapeId="0" xr:uid="{00000000-0006-0000-0300-00002B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128" authorId="0" shapeId="0" xr:uid="{00000000-0006-0000-0300-00002C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128" authorId="0" shapeId="0" xr:uid="{00000000-0006-0000-0300-00002D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128" authorId="0" shapeId="0" xr:uid="{00000000-0006-0000-0300-00002E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128" authorId="0" shapeId="0" xr:uid="{00000000-0006-0000-0300-00002F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129" authorId="0" shapeId="0" xr:uid="{00000000-0006-0000-0300-000030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129" authorId="0" shapeId="0" xr:uid="{00000000-0006-0000-0300-000031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129" authorId="0" shapeId="0" xr:uid="{00000000-0006-0000-0300-000032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129" authorId="0" shapeId="0" xr:uid="{00000000-0006-0000-0300-000033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129" authorId="0" shapeId="0" xr:uid="{00000000-0006-0000-0300-000034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129" authorId="0" shapeId="0" xr:uid="{00000000-0006-0000-0300-000035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129" authorId="0" shapeId="0" xr:uid="{00000000-0006-0000-0300-000036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130" authorId="0" shapeId="0" xr:uid="{00000000-0006-0000-0300-000037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130" authorId="0" shapeId="0" xr:uid="{00000000-0006-0000-0300-000038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130" authorId="0" shapeId="0" xr:uid="{00000000-0006-0000-0300-000039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130" authorId="0" shapeId="0" xr:uid="{00000000-0006-0000-0300-00003A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130" authorId="0" shapeId="0" xr:uid="{00000000-0006-0000-0300-00003B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130" authorId="0" shapeId="0" xr:uid="{00000000-0006-0000-0300-00003C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130" authorId="0" shapeId="0" xr:uid="{00000000-0006-0000-0300-00003D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131" authorId="0" shapeId="0" xr:uid="{00000000-0006-0000-0300-00003E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131" authorId="0" shapeId="0" xr:uid="{00000000-0006-0000-0300-00003F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131" authorId="0" shapeId="0" xr:uid="{00000000-0006-0000-0300-000040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131" authorId="0" shapeId="0" xr:uid="{00000000-0006-0000-0300-000041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131" authorId="0" shapeId="0" xr:uid="{00000000-0006-0000-0300-000042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131" authorId="0" shapeId="0" xr:uid="{00000000-0006-0000-0300-000043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131" authorId="0" shapeId="0" xr:uid="{00000000-0006-0000-0300-000044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132" authorId="0" shapeId="0" xr:uid="{00000000-0006-0000-0300-000045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132" authorId="0" shapeId="0" xr:uid="{00000000-0006-0000-0300-000046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132" authorId="0" shapeId="0" xr:uid="{00000000-0006-0000-0300-000047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132" authorId="0" shapeId="0" xr:uid="{00000000-0006-0000-0300-000048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132" authorId="0" shapeId="0" xr:uid="{00000000-0006-0000-0300-000049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132" authorId="0" shapeId="0" xr:uid="{00000000-0006-0000-0300-00004A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132" authorId="0" shapeId="0" xr:uid="{00000000-0006-0000-0300-00004B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133" authorId="0" shapeId="0" xr:uid="{00000000-0006-0000-0300-00004C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133" authorId="0" shapeId="0" xr:uid="{00000000-0006-0000-0300-00004D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133" authorId="0" shapeId="0" xr:uid="{00000000-0006-0000-0300-00004E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133" authorId="0" shapeId="0" xr:uid="{00000000-0006-0000-0300-00004F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133" authorId="0" shapeId="0" xr:uid="{00000000-0006-0000-0300-000050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133" authorId="0" shapeId="0" xr:uid="{00000000-0006-0000-0300-000051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133" authorId="0" shapeId="0" xr:uid="{00000000-0006-0000-0300-000052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134" authorId="0" shapeId="0" xr:uid="{00000000-0006-0000-0300-000053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134" authorId="0" shapeId="0" xr:uid="{00000000-0006-0000-0300-000054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134" authorId="0" shapeId="0" xr:uid="{00000000-0006-0000-0300-000055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134" authorId="0" shapeId="0" xr:uid="{00000000-0006-0000-0300-000056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134" authorId="0" shapeId="0" xr:uid="{00000000-0006-0000-0300-000057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134" authorId="0" shapeId="0" xr:uid="{00000000-0006-0000-0300-000058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134" authorId="0" shapeId="0" xr:uid="{00000000-0006-0000-0300-000059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135" authorId="0" shapeId="0" xr:uid="{00000000-0006-0000-0300-00005A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135" authorId="0" shapeId="0" xr:uid="{00000000-0006-0000-0300-00005B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135" authorId="0" shapeId="0" xr:uid="{00000000-0006-0000-0300-00005C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135" authorId="0" shapeId="0" xr:uid="{00000000-0006-0000-0300-00005D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135" authorId="0" shapeId="0" xr:uid="{00000000-0006-0000-0300-00005E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135" authorId="0" shapeId="0" xr:uid="{00000000-0006-0000-0300-00005F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135" authorId="0" shapeId="0" xr:uid="{00000000-0006-0000-0300-000060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136" authorId="0" shapeId="0" xr:uid="{00000000-0006-0000-0300-000061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136" authorId="0" shapeId="0" xr:uid="{00000000-0006-0000-0300-000062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136" authorId="0" shapeId="0" xr:uid="{00000000-0006-0000-0300-000063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136" authorId="0" shapeId="0" xr:uid="{00000000-0006-0000-0300-000064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136" authorId="0" shapeId="0" xr:uid="{00000000-0006-0000-0300-000065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136" authorId="0" shapeId="0" xr:uid="{00000000-0006-0000-0300-000066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136" authorId="0" shapeId="0" xr:uid="{00000000-0006-0000-0300-000067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137" authorId="0" shapeId="0" xr:uid="{00000000-0006-0000-0300-000068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137" authorId="0" shapeId="0" xr:uid="{00000000-0006-0000-0300-000069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137" authorId="0" shapeId="0" xr:uid="{00000000-0006-0000-0300-00006A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137" authorId="0" shapeId="0" xr:uid="{00000000-0006-0000-0300-00006B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137" authorId="0" shapeId="0" xr:uid="{00000000-0006-0000-0300-00006C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137" authorId="0" shapeId="0" xr:uid="{00000000-0006-0000-0300-00006D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137" authorId="0" shapeId="0" xr:uid="{00000000-0006-0000-0300-00006E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138" authorId="0" shapeId="0" xr:uid="{00000000-0006-0000-0300-00006F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138" authorId="0" shapeId="0" xr:uid="{00000000-0006-0000-0300-000070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138" authorId="0" shapeId="0" xr:uid="{00000000-0006-0000-0300-000071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138" authorId="0" shapeId="0" xr:uid="{00000000-0006-0000-0300-000072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138" authorId="0" shapeId="0" xr:uid="{00000000-0006-0000-0300-000073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138" authorId="0" shapeId="0" xr:uid="{00000000-0006-0000-0300-000074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138" authorId="0" shapeId="0" xr:uid="{00000000-0006-0000-0300-000075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139" authorId="0" shapeId="0" xr:uid="{00000000-0006-0000-0300-000076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139" authorId="0" shapeId="0" xr:uid="{00000000-0006-0000-0300-000077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139" authorId="0" shapeId="0" xr:uid="{00000000-0006-0000-0300-000078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139" authorId="0" shapeId="0" xr:uid="{00000000-0006-0000-0300-000079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139" authorId="0" shapeId="0" xr:uid="{00000000-0006-0000-0300-00007A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139" authorId="0" shapeId="0" xr:uid="{00000000-0006-0000-0300-00007B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139" authorId="0" shapeId="0" xr:uid="{00000000-0006-0000-0300-00007C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140" authorId="0" shapeId="0" xr:uid="{00000000-0006-0000-0300-00007D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140" authorId="0" shapeId="0" xr:uid="{00000000-0006-0000-0300-00007E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140" authorId="0" shapeId="0" xr:uid="{00000000-0006-0000-0300-00007F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140" authorId="0" shapeId="0" xr:uid="{00000000-0006-0000-0300-000080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140" authorId="0" shapeId="0" xr:uid="{00000000-0006-0000-0300-000081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140" authorId="0" shapeId="0" xr:uid="{00000000-0006-0000-0300-000082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140" authorId="0" shapeId="0" xr:uid="{00000000-0006-0000-0300-000083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141" authorId="0" shapeId="0" xr:uid="{00000000-0006-0000-0300-000084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141" authorId="0" shapeId="0" xr:uid="{00000000-0006-0000-0300-000085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141" authorId="0" shapeId="0" xr:uid="{00000000-0006-0000-0300-000086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141" authorId="0" shapeId="0" xr:uid="{00000000-0006-0000-0300-000087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141" authorId="0" shapeId="0" xr:uid="{00000000-0006-0000-0300-000088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141" authorId="0" shapeId="0" xr:uid="{00000000-0006-0000-0300-000089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141" authorId="0" shapeId="0" xr:uid="{00000000-0006-0000-0300-00008A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142" authorId="0" shapeId="0" xr:uid="{00000000-0006-0000-0300-00008B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142" authorId="0" shapeId="0" xr:uid="{00000000-0006-0000-0300-00008C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142" authorId="0" shapeId="0" xr:uid="{00000000-0006-0000-0300-00008D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142" authorId="0" shapeId="0" xr:uid="{00000000-0006-0000-0300-00008E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142" authorId="0" shapeId="0" xr:uid="{00000000-0006-0000-0300-00008F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142" authorId="0" shapeId="0" xr:uid="{00000000-0006-0000-0300-000090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142" authorId="0" shapeId="0" xr:uid="{00000000-0006-0000-0300-000091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143" authorId="0" shapeId="0" xr:uid="{00000000-0006-0000-0300-000092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143" authorId="0" shapeId="0" xr:uid="{00000000-0006-0000-0300-000093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143" authorId="0" shapeId="0" xr:uid="{00000000-0006-0000-0300-000094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143" authorId="0" shapeId="0" xr:uid="{00000000-0006-0000-0300-000095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143" authorId="0" shapeId="0" xr:uid="{00000000-0006-0000-0300-000096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143" authorId="0" shapeId="0" xr:uid="{00000000-0006-0000-0300-000097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143" authorId="0" shapeId="0" xr:uid="{00000000-0006-0000-0300-000098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144" authorId="0" shapeId="0" xr:uid="{00000000-0006-0000-0300-000099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144" authorId="0" shapeId="0" xr:uid="{00000000-0006-0000-0300-00009A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144" authorId="0" shapeId="0" xr:uid="{00000000-0006-0000-0300-00009B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144" authorId="0" shapeId="0" xr:uid="{00000000-0006-0000-0300-00009C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144" authorId="0" shapeId="0" xr:uid="{00000000-0006-0000-0300-00009D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144" authorId="0" shapeId="0" xr:uid="{00000000-0006-0000-0300-00009E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144" authorId="0" shapeId="0" xr:uid="{00000000-0006-0000-0300-00009F03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Mahir Nagersheth</author>
  </authors>
  <commentList>
    <comment ref="B17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Mahir Nagersheth</author>
  </authors>
  <commentList>
    <comment ref="G6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6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I6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J6" authorId="0" shapeId="0" xr:uid="{00000000-0006-0000-0500-000004000000}">
      <text>
        <r>
          <rPr>
            <sz val="11"/>
            <color rgb="FF000000"/>
            <rFont val="Calibri"/>
            <family val="2"/>
          </rPr>
          <t>Formula documented in this worksheet. Inputs: HW2.pdf.</t>
        </r>
      </text>
    </comment>
    <comment ref="L6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7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7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I7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J7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L7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8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8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I8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J8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L8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9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9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I9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J9" authorId="0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L9" authorId="0" shapeId="0" xr:uid="{00000000-0006-0000-0500-000014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10" authorId="0" shapeId="0" xr:uid="{00000000-0006-0000-0500-000015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10" authorId="0" shapeId="0" xr:uid="{00000000-0006-0000-0500-000016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I10" authorId="0" shapeId="0" xr:uid="{00000000-0006-0000-0500-000017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J10" authorId="0" shapeId="0" xr:uid="{00000000-0006-0000-0500-000018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L10" authorId="0" shapeId="0" xr:uid="{00000000-0006-0000-0500-000019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11" authorId="0" shapeId="0" xr:uid="{00000000-0006-0000-0500-00001A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11" authorId="0" shapeId="0" xr:uid="{00000000-0006-0000-0500-00001B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I11" authorId="0" shapeId="0" xr:uid="{00000000-0006-0000-0500-00001C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J11" authorId="0" shapeId="0" xr:uid="{00000000-0006-0000-0500-00001D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L11" authorId="0" shapeId="0" xr:uid="{00000000-0006-0000-0500-00001E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12" authorId="0" shapeId="0" xr:uid="{00000000-0006-0000-0500-00001F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12" authorId="0" shapeId="0" xr:uid="{00000000-0006-0000-0500-000020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I12" authorId="0" shapeId="0" xr:uid="{00000000-0006-0000-0500-000021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J12" authorId="0" shapeId="0" xr:uid="{00000000-0006-0000-0500-000022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L12" authorId="0" shapeId="0" xr:uid="{00000000-0006-0000-0500-000023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13" authorId="0" shapeId="0" xr:uid="{00000000-0006-0000-0500-000024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13" authorId="0" shapeId="0" xr:uid="{00000000-0006-0000-0500-000025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I13" authorId="0" shapeId="0" xr:uid="{00000000-0006-0000-0500-000026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J13" authorId="0" shapeId="0" xr:uid="{00000000-0006-0000-0500-000027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L13" authorId="0" shapeId="0" xr:uid="{00000000-0006-0000-0500-000028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14" authorId="0" shapeId="0" xr:uid="{00000000-0006-0000-0500-000029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14" authorId="0" shapeId="0" xr:uid="{00000000-0006-0000-0500-00002A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I14" authorId="0" shapeId="0" xr:uid="{00000000-0006-0000-0500-00002B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J14" authorId="0" shapeId="0" xr:uid="{00000000-0006-0000-0500-00002C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L14" authorId="0" shapeId="0" xr:uid="{00000000-0006-0000-0500-00002D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16" authorId="0" shapeId="0" xr:uid="{00000000-0006-0000-0500-00002E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19" authorId="0" shapeId="0" xr:uid="{00000000-0006-0000-0500-00002F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19" authorId="0" shapeId="0" xr:uid="{00000000-0006-0000-0500-000030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20" authorId="0" shapeId="0" xr:uid="{00000000-0006-0000-0500-000031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20" authorId="0" shapeId="0" xr:uid="{00000000-0006-0000-0500-000032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21" authorId="0" shapeId="0" xr:uid="{00000000-0006-0000-0500-000033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21" authorId="0" shapeId="0" xr:uid="{00000000-0006-0000-0500-000034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22" authorId="0" shapeId="0" xr:uid="{00000000-0006-0000-0500-000035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22" authorId="0" shapeId="0" xr:uid="{00000000-0006-0000-0500-000036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23" authorId="0" shapeId="0" xr:uid="{00000000-0006-0000-0500-000037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23" authorId="0" shapeId="0" xr:uid="{00000000-0006-0000-0500-000038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24" authorId="0" shapeId="0" xr:uid="{00000000-0006-0000-0500-000039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24" authorId="0" shapeId="0" xr:uid="{00000000-0006-0000-0500-00003A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25" authorId="0" shapeId="0" xr:uid="{00000000-0006-0000-0500-00003B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25" authorId="0" shapeId="0" xr:uid="{00000000-0006-0000-0500-00003C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26" authorId="0" shapeId="0" xr:uid="{00000000-0006-0000-0500-00003D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26" authorId="0" shapeId="0" xr:uid="{00000000-0006-0000-0500-00003E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27" authorId="0" shapeId="0" xr:uid="{00000000-0006-0000-0500-00003F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27" authorId="0" shapeId="0" xr:uid="{00000000-0006-0000-0500-000040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28" authorId="0" shapeId="0" xr:uid="{00000000-0006-0000-0500-000041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28" authorId="0" shapeId="0" xr:uid="{00000000-0006-0000-0500-000042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29" authorId="0" shapeId="0" xr:uid="{00000000-0006-0000-0500-000043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29" authorId="0" shapeId="0" xr:uid="{00000000-0006-0000-0500-000044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30" authorId="0" shapeId="0" xr:uid="{00000000-0006-0000-0500-000045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30" authorId="0" shapeId="0" xr:uid="{00000000-0006-0000-0500-000046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33" authorId="0" shapeId="0" xr:uid="{00000000-0006-0000-0500-000047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33" authorId="0" shapeId="0" xr:uid="{00000000-0006-0000-0500-000048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34" authorId="0" shapeId="0" xr:uid="{00000000-0006-0000-0500-000049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34" authorId="0" shapeId="0" xr:uid="{00000000-0006-0000-0500-00004A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35" authorId="0" shapeId="0" xr:uid="{00000000-0006-0000-0500-00004B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35" authorId="0" shapeId="0" xr:uid="{00000000-0006-0000-0500-00004C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36" authorId="0" shapeId="0" xr:uid="{00000000-0006-0000-0500-00004D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36" authorId="0" shapeId="0" xr:uid="{00000000-0006-0000-0500-00004E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37" authorId="0" shapeId="0" xr:uid="{00000000-0006-0000-0500-00004F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37" authorId="0" shapeId="0" xr:uid="{00000000-0006-0000-0500-000050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38" authorId="0" shapeId="0" xr:uid="{00000000-0006-0000-0500-000051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38" authorId="0" shapeId="0" xr:uid="{00000000-0006-0000-0500-000052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39" authorId="0" shapeId="0" xr:uid="{00000000-0006-0000-0500-000053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39" authorId="0" shapeId="0" xr:uid="{00000000-0006-0000-0500-000054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40" authorId="0" shapeId="0" xr:uid="{00000000-0006-0000-0500-000055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40" authorId="0" shapeId="0" xr:uid="{00000000-0006-0000-0500-000056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41" authorId="0" shapeId="0" xr:uid="{00000000-0006-0000-0500-000057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41" authorId="0" shapeId="0" xr:uid="{00000000-0006-0000-0500-000058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Mahir Nagersheth</author>
  </authors>
  <commentList>
    <comment ref="G6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6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I6" authorId="0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J6" authorId="0" shapeId="0" xr:uid="{00000000-0006-0000-0600-000004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L6" authorId="0" shapeId="0" xr:uid="{00000000-0006-0000-0600-000005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7" authorId="0" shapeId="0" xr:uid="{00000000-0006-0000-0600-000006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7" authorId="0" shapeId="0" xr:uid="{00000000-0006-0000-0600-000007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I7" authorId="0" shapeId="0" xr:uid="{00000000-0006-0000-0600-000008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J7" authorId="0" shapeId="0" xr:uid="{00000000-0006-0000-0600-000009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L7" authorId="0" shapeId="0" xr:uid="{00000000-0006-0000-0600-00000A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8" authorId="0" shapeId="0" xr:uid="{00000000-0006-0000-0600-00000B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8" authorId="0" shapeId="0" xr:uid="{00000000-0006-0000-0600-00000C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I8" authorId="0" shapeId="0" xr:uid="{00000000-0006-0000-0600-00000D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J8" authorId="0" shapeId="0" xr:uid="{00000000-0006-0000-0600-00000E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L8" authorId="0" shapeId="0" xr:uid="{00000000-0006-0000-0600-00000F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9" authorId="0" shapeId="0" xr:uid="{00000000-0006-0000-0600-000010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9" authorId="0" shapeId="0" xr:uid="{00000000-0006-0000-0600-000011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I9" authorId="0" shapeId="0" xr:uid="{00000000-0006-0000-0600-000012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J9" authorId="0" shapeId="0" xr:uid="{00000000-0006-0000-0600-000013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L9" authorId="0" shapeId="0" xr:uid="{00000000-0006-0000-0600-000014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10" authorId="0" shapeId="0" xr:uid="{00000000-0006-0000-0600-000015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10" authorId="0" shapeId="0" xr:uid="{00000000-0006-0000-0600-000016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I10" authorId="0" shapeId="0" xr:uid="{00000000-0006-0000-0600-000017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J10" authorId="0" shapeId="0" xr:uid="{00000000-0006-0000-0600-000018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L10" authorId="0" shapeId="0" xr:uid="{00000000-0006-0000-0600-000019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11" authorId="0" shapeId="0" xr:uid="{00000000-0006-0000-0600-00001A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11" authorId="0" shapeId="0" xr:uid="{00000000-0006-0000-0600-00001B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I11" authorId="0" shapeId="0" xr:uid="{00000000-0006-0000-0600-00001C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J11" authorId="0" shapeId="0" xr:uid="{00000000-0006-0000-0600-00001D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L11" authorId="0" shapeId="0" xr:uid="{00000000-0006-0000-0600-00001E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12" authorId="0" shapeId="0" xr:uid="{00000000-0006-0000-0600-00001F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12" authorId="0" shapeId="0" xr:uid="{00000000-0006-0000-0600-000020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I12" authorId="0" shapeId="0" xr:uid="{00000000-0006-0000-0600-000021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J12" authorId="0" shapeId="0" xr:uid="{00000000-0006-0000-0600-000022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L12" authorId="0" shapeId="0" xr:uid="{00000000-0006-0000-0600-000023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13" authorId="0" shapeId="0" xr:uid="{00000000-0006-0000-0600-000024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13" authorId="0" shapeId="0" xr:uid="{00000000-0006-0000-0600-000025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I13" authorId="0" shapeId="0" xr:uid="{00000000-0006-0000-0600-000026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J13" authorId="0" shapeId="0" xr:uid="{00000000-0006-0000-0600-000027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L13" authorId="0" shapeId="0" xr:uid="{00000000-0006-0000-0600-000028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14" authorId="0" shapeId="0" xr:uid="{00000000-0006-0000-0600-000029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14" authorId="0" shapeId="0" xr:uid="{00000000-0006-0000-0600-00002A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I14" authorId="0" shapeId="0" xr:uid="{00000000-0006-0000-0600-00002B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J14" authorId="0" shapeId="0" xr:uid="{00000000-0006-0000-0600-00002C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L14" authorId="0" shapeId="0" xr:uid="{00000000-0006-0000-0600-00002D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16" authorId="0" shapeId="0" xr:uid="{00000000-0006-0000-0600-00002E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19" authorId="0" shapeId="0" xr:uid="{00000000-0006-0000-0600-00002F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19" authorId="0" shapeId="0" xr:uid="{00000000-0006-0000-0600-000030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20" authorId="0" shapeId="0" xr:uid="{00000000-0006-0000-0600-000031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20" authorId="0" shapeId="0" xr:uid="{00000000-0006-0000-0600-000032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21" authorId="0" shapeId="0" xr:uid="{00000000-0006-0000-0600-000033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21" authorId="0" shapeId="0" xr:uid="{00000000-0006-0000-0600-000034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22" authorId="0" shapeId="0" xr:uid="{00000000-0006-0000-0600-000035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22" authorId="0" shapeId="0" xr:uid="{00000000-0006-0000-0600-000036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23" authorId="0" shapeId="0" xr:uid="{00000000-0006-0000-0600-000037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23" authorId="0" shapeId="0" xr:uid="{00000000-0006-0000-0600-000038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24" authorId="0" shapeId="0" xr:uid="{00000000-0006-0000-0600-000039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24" authorId="0" shapeId="0" xr:uid="{00000000-0006-0000-0600-00003A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25" authorId="0" shapeId="0" xr:uid="{00000000-0006-0000-0600-00003B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25" authorId="0" shapeId="0" xr:uid="{00000000-0006-0000-0600-00003C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26" authorId="0" shapeId="0" xr:uid="{00000000-0006-0000-0600-00003D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26" authorId="0" shapeId="0" xr:uid="{00000000-0006-0000-0600-00003E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27" authorId="0" shapeId="0" xr:uid="{00000000-0006-0000-0600-00003F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27" authorId="0" shapeId="0" xr:uid="{00000000-0006-0000-0600-000040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28" authorId="0" shapeId="0" xr:uid="{00000000-0006-0000-0600-000041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28" authorId="0" shapeId="0" xr:uid="{00000000-0006-0000-0600-000042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29" authorId="0" shapeId="0" xr:uid="{00000000-0006-0000-0600-000043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29" authorId="0" shapeId="0" xr:uid="{00000000-0006-0000-0600-000044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30" authorId="0" shapeId="0" xr:uid="{00000000-0006-0000-0600-000045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30" authorId="0" shapeId="0" xr:uid="{00000000-0006-0000-0600-000046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33" authorId="0" shapeId="0" xr:uid="{00000000-0006-0000-0600-000047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33" authorId="0" shapeId="0" xr:uid="{00000000-0006-0000-0600-000048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34" authorId="0" shapeId="0" xr:uid="{00000000-0006-0000-0600-000049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34" authorId="0" shapeId="0" xr:uid="{00000000-0006-0000-0600-00004A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35" authorId="0" shapeId="0" xr:uid="{00000000-0006-0000-0600-00004B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35" authorId="0" shapeId="0" xr:uid="{00000000-0006-0000-0600-00004C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36" authorId="0" shapeId="0" xr:uid="{00000000-0006-0000-0600-00004D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36" authorId="0" shapeId="0" xr:uid="{00000000-0006-0000-0600-00004E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37" authorId="0" shapeId="0" xr:uid="{00000000-0006-0000-0600-00004F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37" authorId="0" shapeId="0" xr:uid="{00000000-0006-0000-0600-000050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38" authorId="0" shapeId="0" xr:uid="{00000000-0006-0000-0600-000051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38" authorId="0" shapeId="0" xr:uid="{00000000-0006-0000-0600-000052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39" authorId="0" shapeId="0" xr:uid="{00000000-0006-0000-0600-000053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39" authorId="0" shapeId="0" xr:uid="{00000000-0006-0000-0600-000054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40" authorId="0" shapeId="0" xr:uid="{00000000-0006-0000-0600-000055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40" authorId="0" shapeId="0" xr:uid="{00000000-0006-0000-0600-000056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41" authorId="0" shapeId="0" xr:uid="{00000000-0006-0000-0600-000057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41" authorId="0" shapeId="0" xr:uid="{00000000-0006-0000-0600-000058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Mahir Nagersheth</author>
  </authors>
  <commentList>
    <comment ref="G6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6" authorId="0" shapeId="0" xr:uid="{00000000-0006-0000-0700-000002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I6" authorId="0" shapeId="0" xr:uid="{00000000-0006-0000-0700-000003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J6" authorId="0" shapeId="0" xr:uid="{00000000-0006-0000-0700-000004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L6" authorId="0" shapeId="0" xr:uid="{00000000-0006-0000-0700-000005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7" authorId="0" shapeId="0" xr:uid="{00000000-0006-0000-0700-000006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7" authorId="0" shapeId="0" xr:uid="{00000000-0006-0000-0700-000007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I7" authorId="0" shapeId="0" xr:uid="{00000000-0006-0000-0700-000008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J7" authorId="0" shapeId="0" xr:uid="{00000000-0006-0000-0700-000009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L7" authorId="0" shapeId="0" xr:uid="{00000000-0006-0000-0700-00000A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8" authorId="0" shapeId="0" xr:uid="{00000000-0006-0000-0700-00000B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8" authorId="0" shapeId="0" xr:uid="{00000000-0006-0000-0700-00000C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I8" authorId="0" shapeId="0" xr:uid="{00000000-0006-0000-0700-00000D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J8" authorId="0" shapeId="0" xr:uid="{00000000-0006-0000-0700-00000E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L8" authorId="0" shapeId="0" xr:uid="{00000000-0006-0000-0700-00000F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9" authorId="0" shapeId="0" xr:uid="{00000000-0006-0000-0700-000010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9" authorId="0" shapeId="0" xr:uid="{00000000-0006-0000-0700-000011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I9" authorId="0" shapeId="0" xr:uid="{00000000-0006-0000-0700-000012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J9" authorId="0" shapeId="0" xr:uid="{00000000-0006-0000-0700-000013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L9" authorId="0" shapeId="0" xr:uid="{00000000-0006-0000-0700-000014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10" authorId="0" shapeId="0" xr:uid="{00000000-0006-0000-0700-000015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10" authorId="0" shapeId="0" xr:uid="{00000000-0006-0000-0700-000016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I10" authorId="0" shapeId="0" xr:uid="{00000000-0006-0000-0700-000017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J10" authorId="0" shapeId="0" xr:uid="{00000000-0006-0000-0700-000018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L10" authorId="0" shapeId="0" xr:uid="{00000000-0006-0000-0700-000019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11" authorId="0" shapeId="0" xr:uid="{00000000-0006-0000-0700-00001A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11" authorId="0" shapeId="0" xr:uid="{00000000-0006-0000-0700-00001B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I11" authorId="0" shapeId="0" xr:uid="{00000000-0006-0000-0700-00001C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J11" authorId="0" shapeId="0" xr:uid="{00000000-0006-0000-0700-00001D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L11" authorId="0" shapeId="0" xr:uid="{00000000-0006-0000-0700-00001E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12" authorId="0" shapeId="0" xr:uid="{00000000-0006-0000-0700-00001F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12" authorId="0" shapeId="0" xr:uid="{00000000-0006-0000-0700-000020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I12" authorId="0" shapeId="0" xr:uid="{00000000-0006-0000-0700-000021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J12" authorId="0" shapeId="0" xr:uid="{00000000-0006-0000-0700-000022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L12" authorId="0" shapeId="0" xr:uid="{00000000-0006-0000-0700-000023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13" authorId="0" shapeId="0" xr:uid="{00000000-0006-0000-0700-000024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13" authorId="0" shapeId="0" xr:uid="{00000000-0006-0000-0700-000025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I13" authorId="0" shapeId="0" xr:uid="{00000000-0006-0000-0700-000026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J13" authorId="0" shapeId="0" xr:uid="{00000000-0006-0000-0700-000027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L13" authorId="0" shapeId="0" xr:uid="{00000000-0006-0000-0700-000028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14" authorId="0" shapeId="0" xr:uid="{00000000-0006-0000-0700-000029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14" authorId="0" shapeId="0" xr:uid="{00000000-0006-0000-0700-00002A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I14" authorId="0" shapeId="0" xr:uid="{00000000-0006-0000-0700-00002B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J14" authorId="0" shapeId="0" xr:uid="{00000000-0006-0000-0700-00002C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L14" authorId="0" shapeId="0" xr:uid="{00000000-0006-0000-0700-00002D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16" authorId="0" shapeId="0" xr:uid="{00000000-0006-0000-0700-00002E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19" authorId="0" shapeId="0" xr:uid="{00000000-0006-0000-0700-00002F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19" authorId="0" shapeId="0" xr:uid="{00000000-0006-0000-0700-000030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20" authorId="0" shapeId="0" xr:uid="{00000000-0006-0000-0700-000031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20" authorId="0" shapeId="0" xr:uid="{00000000-0006-0000-0700-000032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21" authorId="0" shapeId="0" xr:uid="{00000000-0006-0000-0700-000033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21" authorId="0" shapeId="0" xr:uid="{00000000-0006-0000-0700-000034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22" authorId="0" shapeId="0" xr:uid="{00000000-0006-0000-0700-000035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22" authorId="0" shapeId="0" xr:uid="{00000000-0006-0000-0700-000036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23" authorId="0" shapeId="0" xr:uid="{00000000-0006-0000-0700-000037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23" authorId="0" shapeId="0" xr:uid="{00000000-0006-0000-0700-000038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24" authorId="0" shapeId="0" xr:uid="{00000000-0006-0000-0700-000039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24" authorId="0" shapeId="0" xr:uid="{00000000-0006-0000-0700-00003A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25" authorId="0" shapeId="0" xr:uid="{00000000-0006-0000-0700-00003B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25" authorId="0" shapeId="0" xr:uid="{00000000-0006-0000-0700-00003C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26" authorId="0" shapeId="0" xr:uid="{00000000-0006-0000-0700-00003D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26" authorId="0" shapeId="0" xr:uid="{00000000-0006-0000-0700-00003E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27" authorId="0" shapeId="0" xr:uid="{00000000-0006-0000-0700-00003F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27" authorId="0" shapeId="0" xr:uid="{00000000-0006-0000-0700-000040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28" authorId="0" shapeId="0" xr:uid="{00000000-0006-0000-0700-000041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28" authorId="0" shapeId="0" xr:uid="{00000000-0006-0000-0700-000042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29" authorId="0" shapeId="0" xr:uid="{00000000-0006-0000-0700-000043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29" authorId="0" shapeId="0" xr:uid="{00000000-0006-0000-0700-000044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30" authorId="0" shapeId="0" xr:uid="{00000000-0006-0000-0700-000045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30" authorId="0" shapeId="0" xr:uid="{00000000-0006-0000-0700-000046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33" authorId="0" shapeId="0" xr:uid="{00000000-0006-0000-0700-000047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33" authorId="0" shapeId="0" xr:uid="{00000000-0006-0000-0700-000048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34" authorId="0" shapeId="0" xr:uid="{00000000-0006-0000-0700-000049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34" authorId="0" shapeId="0" xr:uid="{00000000-0006-0000-0700-00004A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35" authorId="0" shapeId="0" xr:uid="{00000000-0006-0000-0700-00004B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35" authorId="0" shapeId="0" xr:uid="{00000000-0006-0000-0700-00004C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36" authorId="0" shapeId="0" xr:uid="{00000000-0006-0000-0700-00004D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36" authorId="0" shapeId="0" xr:uid="{00000000-0006-0000-0700-00004E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37" authorId="0" shapeId="0" xr:uid="{00000000-0006-0000-0700-00004F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37" authorId="0" shapeId="0" xr:uid="{00000000-0006-0000-0700-000050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38" authorId="0" shapeId="0" xr:uid="{00000000-0006-0000-0700-000051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38" authorId="0" shapeId="0" xr:uid="{00000000-0006-0000-0700-000052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39" authorId="0" shapeId="0" xr:uid="{00000000-0006-0000-0700-000053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39" authorId="0" shapeId="0" xr:uid="{00000000-0006-0000-0700-000054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40" authorId="0" shapeId="0" xr:uid="{00000000-0006-0000-0700-000055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40" authorId="0" shapeId="0" xr:uid="{00000000-0006-0000-0700-000056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41" authorId="0" shapeId="0" xr:uid="{00000000-0006-0000-0700-000057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41" authorId="0" shapeId="0" xr:uid="{00000000-0006-0000-0700-000058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Mahir Nagersheth</author>
  </authors>
  <commentList>
    <comment ref="G6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6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I6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J6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L6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7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7" authorId="0" shapeId="0" xr:uid="{00000000-0006-0000-0800-000007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I7" authorId="0" shapeId="0" xr:uid="{00000000-0006-0000-0800-000008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J7" authorId="0" shapeId="0" xr:uid="{00000000-0006-0000-0800-000009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L7" authorId="0" shapeId="0" xr:uid="{00000000-0006-0000-0800-00000A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8" authorId="0" shapeId="0" xr:uid="{00000000-0006-0000-0800-00000B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8" authorId="0" shapeId="0" xr:uid="{00000000-0006-0000-0800-00000C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I8" authorId="0" shapeId="0" xr:uid="{00000000-0006-0000-0800-00000D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J8" authorId="0" shapeId="0" xr:uid="{00000000-0006-0000-0800-00000E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L8" authorId="0" shapeId="0" xr:uid="{00000000-0006-0000-0800-00000F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9" authorId="0" shapeId="0" xr:uid="{00000000-0006-0000-0800-000010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9" authorId="0" shapeId="0" xr:uid="{00000000-0006-0000-0800-000011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I9" authorId="0" shapeId="0" xr:uid="{00000000-0006-0000-0800-000012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J9" authorId="0" shapeId="0" xr:uid="{00000000-0006-0000-0800-000013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L9" authorId="0" shapeId="0" xr:uid="{00000000-0006-0000-0800-000014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10" authorId="0" shapeId="0" xr:uid="{00000000-0006-0000-0800-000015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10" authorId="0" shapeId="0" xr:uid="{00000000-0006-0000-0800-000016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I10" authorId="0" shapeId="0" xr:uid="{00000000-0006-0000-0800-000017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J10" authorId="0" shapeId="0" xr:uid="{00000000-0006-0000-0800-000018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L10" authorId="0" shapeId="0" xr:uid="{00000000-0006-0000-0800-000019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11" authorId="0" shapeId="0" xr:uid="{00000000-0006-0000-0800-00001A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11" authorId="0" shapeId="0" xr:uid="{00000000-0006-0000-0800-00001B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I11" authorId="0" shapeId="0" xr:uid="{00000000-0006-0000-0800-00001C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J11" authorId="0" shapeId="0" xr:uid="{00000000-0006-0000-0800-00001D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L11" authorId="0" shapeId="0" xr:uid="{00000000-0006-0000-0800-00001E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12" authorId="0" shapeId="0" xr:uid="{00000000-0006-0000-0800-00001F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12" authorId="0" shapeId="0" xr:uid="{00000000-0006-0000-0800-000020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I12" authorId="0" shapeId="0" xr:uid="{00000000-0006-0000-0800-000021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J12" authorId="0" shapeId="0" xr:uid="{00000000-0006-0000-0800-000022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L12" authorId="0" shapeId="0" xr:uid="{00000000-0006-0000-0800-000023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13" authorId="0" shapeId="0" xr:uid="{00000000-0006-0000-0800-000024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13" authorId="0" shapeId="0" xr:uid="{00000000-0006-0000-0800-000025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I13" authorId="0" shapeId="0" xr:uid="{00000000-0006-0000-0800-000026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J13" authorId="0" shapeId="0" xr:uid="{00000000-0006-0000-0800-000027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L13" authorId="0" shapeId="0" xr:uid="{00000000-0006-0000-0800-000028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14" authorId="0" shapeId="0" xr:uid="{00000000-0006-0000-0800-000029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14" authorId="0" shapeId="0" xr:uid="{00000000-0006-0000-0800-00002A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I14" authorId="0" shapeId="0" xr:uid="{00000000-0006-0000-0800-00002B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J14" authorId="0" shapeId="0" xr:uid="{00000000-0006-0000-0800-00002C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L14" authorId="0" shapeId="0" xr:uid="{00000000-0006-0000-0800-00002D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16" authorId="0" shapeId="0" xr:uid="{00000000-0006-0000-0800-00002E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19" authorId="0" shapeId="0" xr:uid="{00000000-0006-0000-0800-00002F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19" authorId="0" shapeId="0" xr:uid="{00000000-0006-0000-0800-000030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20" authorId="0" shapeId="0" xr:uid="{00000000-0006-0000-0800-000031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20" authorId="0" shapeId="0" xr:uid="{00000000-0006-0000-0800-000032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21" authorId="0" shapeId="0" xr:uid="{00000000-0006-0000-0800-000033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21" authorId="0" shapeId="0" xr:uid="{00000000-0006-0000-0800-000034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22" authorId="0" shapeId="0" xr:uid="{00000000-0006-0000-0800-000035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22" authorId="0" shapeId="0" xr:uid="{00000000-0006-0000-0800-000036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23" authorId="0" shapeId="0" xr:uid="{00000000-0006-0000-0800-000037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23" authorId="0" shapeId="0" xr:uid="{00000000-0006-0000-0800-000038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24" authorId="0" shapeId="0" xr:uid="{00000000-0006-0000-0800-000039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24" authorId="0" shapeId="0" xr:uid="{00000000-0006-0000-0800-00003A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25" authorId="0" shapeId="0" xr:uid="{00000000-0006-0000-0800-00003B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25" authorId="0" shapeId="0" xr:uid="{00000000-0006-0000-0800-00003C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26" authorId="0" shapeId="0" xr:uid="{00000000-0006-0000-0800-00003D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26" authorId="0" shapeId="0" xr:uid="{00000000-0006-0000-0800-00003E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27" authorId="0" shapeId="0" xr:uid="{00000000-0006-0000-0800-00003F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27" authorId="0" shapeId="0" xr:uid="{00000000-0006-0000-0800-000040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28" authorId="0" shapeId="0" xr:uid="{00000000-0006-0000-0800-000041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28" authorId="0" shapeId="0" xr:uid="{00000000-0006-0000-0800-000042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29" authorId="0" shapeId="0" xr:uid="{00000000-0006-0000-0800-000043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29" authorId="0" shapeId="0" xr:uid="{00000000-0006-0000-0800-000044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30" authorId="0" shapeId="0" xr:uid="{00000000-0006-0000-0800-000045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30" authorId="0" shapeId="0" xr:uid="{00000000-0006-0000-0800-000046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33" authorId="0" shapeId="0" xr:uid="{00000000-0006-0000-0800-000047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33" authorId="0" shapeId="0" xr:uid="{00000000-0006-0000-0800-000048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34" authorId="0" shapeId="0" xr:uid="{00000000-0006-0000-0800-000049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34" authorId="0" shapeId="0" xr:uid="{00000000-0006-0000-0800-00004A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35" authorId="0" shapeId="0" xr:uid="{00000000-0006-0000-0800-00004B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35" authorId="0" shapeId="0" xr:uid="{00000000-0006-0000-0800-00004C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36" authorId="0" shapeId="0" xr:uid="{00000000-0006-0000-0800-00004D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36" authorId="0" shapeId="0" xr:uid="{00000000-0006-0000-0800-00004E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37" authorId="0" shapeId="0" xr:uid="{00000000-0006-0000-0800-00004F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37" authorId="0" shapeId="0" xr:uid="{00000000-0006-0000-0800-000050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38" authorId="0" shapeId="0" xr:uid="{00000000-0006-0000-0800-000051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38" authorId="0" shapeId="0" xr:uid="{00000000-0006-0000-0800-000052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39" authorId="0" shapeId="0" xr:uid="{00000000-0006-0000-0800-000053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39" authorId="0" shapeId="0" xr:uid="{00000000-0006-0000-0800-000054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40" authorId="0" shapeId="0" xr:uid="{00000000-0006-0000-0800-000055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40" authorId="0" shapeId="0" xr:uid="{00000000-0006-0000-0800-000056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41" authorId="0" shapeId="0" xr:uid="{00000000-0006-0000-0800-000057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41" authorId="0" shapeId="0" xr:uid="{00000000-0006-0000-0800-000058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Mahir Nagersheth</author>
  </authors>
  <commentList>
    <comment ref="H15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16" authorId="0" shapeId="0" xr:uid="{00000000-0006-0000-0900-000002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17" authorId="0" shapeId="0" xr:uid="{00000000-0006-0000-0900-000003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18" authorId="0" shapeId="0" xr:uid="{00000000-0006-0000-0900-000004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19" authorId="0" shapeId="0" xr:uid="{00000000-0006-0000-0900-000005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H20" authorId="0" shapeId="0" xr:uid="{00000000-0006-0000-0900-000006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22" authorId="0" shapeId="0" xr:uid="{00000000-0006-0000-0900-000007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C22" authorId="0" shapeId="0" xr:uid="{00000000-0006-0000-0900-000008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D22" authorId="0" shapeId="0" xr:uid="{00000000-0006-0000-0900-000009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E22" authorId="0" shapeId="0" xr:uid="{00000000-0006-0000-0900-00000A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F22" authorId="0" shapeId="0" xr:uid="{00000000-0006-0000-0900-00000B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G22" authorId="0" shapeId="0" xr:uid="{00000000-0006-0000-0900-00000C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  <comment ref="B33" authorId="0" shapeId="0" xr:uid="{00000000-0006-0000-0900-00000D000000}">
      <text>
        <r>
          <rPr>
            <sz val="11"/>
            <color theme="1"/>
            <rFont val="Calibri"/>
            <family val="2"/>
            <scheme val="minor"/>
          </rPr>
          <t>Formula documented in this worksheet. Inputs: HW2.pdf.</t>
        </r>
      </text>
    </comment>
  </commentList>
</comments>
</file>

<file path=xl/sharedStrings.xml><?xml version="1.0" encoding="utf-8"?>
<sst xmlns="http://schemas.openxmlformats.org/spreadsheetml/2006/main" count="654" uniqueCount="200">
  <si>
    <t>Mahir Nagersheth | mnagersh | HW2 | Canvas uploader: mnagersh</t>
  </si>
  <si>
    <t>Problem 1 | School lunch planning</t>
  </si>
  <si>
    <t>Input / variable</t>
  </si>
  <si>
    <t>Dish 1</t>
  </si>
  <si>
    <t>Dish 2</t>
  </si>
  <si>
    <t>Dish 3</t>
  </si>
  <si>
    <t>Unit cost</t>
  </si>
  <si>
    <t>Cooking minutes</t>
  </si>
  <si>
    <t>Shelf space</t>
  </si>
  <si>
    <t>Minimum meals</t>
  </si>
  <si>
    <t>Meals to prepare</t>
  </si>
  <si>
    <t>Total cost</t>
  </si>
  <si>
    <t>Constraint</t>
  </si>
  <si>
    <t>Used / LHS</t>
  </si>
  <si>
    <t>Relation</t>
  </si>
  <si>
    <t>Limit / RHS</t>
  </si>
  <si>
    <t>Slack</t>
  </si>
  <si>
    <t>Cooking time</t>
  </si>
  <si>
    <t>&lt;=</t>
  </si>
  <si>
    <t>Shelf storage</t>
  </si>
  <si>
    <t>Total demand</t>
  </si>
  <si>
    <t>&gt;=</t>
  </si>
  <si>
    <t>Minimum Dish 1</t>
  </si>
  <si>
    <t>Minimum Dish 2</t>
  </si>
  <si>
    <t>Minimum Dish 3</t>
  </si>
  <si>
    <t>Solver setting</t>
  </si>
  <si>
    <t>Specification</t>
  </si>
  <si>
    <t>Objective: $B$12, Min. Changing cells: $B$10:$D$10.</t>
  </si>
  <si>
    <t>Constraints: $B$15:$B$16 &lt;= $D$15:$D$16; $B$17:$B$20 &gt;= $D$17:$D$20.</t>
  </si>
  <si>
    <t>Method: Simplex LP. Make unconstrained variables non-negative. No integer constraints; request Sensitivity report after Solve.</t>
  </si>
  <si>
    <t>Formula cell(s)</t>
  </si>
  <si>
    <t>Formula / explanation</t>
  </si>
  <si>
    <t>B12</t>
  </si>
  <si>
    <t>=SUMPRODUCT(B5:D5,B10:D10)</t>
  </si>
  <si>
    <t>B15</t>
  </si>
  <si>
    <t>=SUMPRODUCT(B6:D6,B10:D10)</t>
  </si>
  <si>
    <t>E15</t>
  </si>
  <si>
    <t>=D15-B15</t>
  </si>
  <si>
    <t>B16</t>
  </si>
  <si>
    <t>=SUMPRODUCT(B7:D7,B10:D10)</t>
  </si>
  <si>
    <t>E16</t>
  </si>
  <si>
    <t>=D16-B16</t>
  </si>
  <si>
    <t>B17</t>
  </si>
  <si>
    <t>=SUM(B10:D10)</t>
  </si>
  <si>
    <t>E17</t>
  </si>
  <si>
    <t>=B17-D17</t>
  </si>
  <si>
    <t>B18</t>
  </si>
  <si>
    <t>=B10</t>
  </si>
  <si>
    <t>D18</t>
  </si>
  <si>
    <t>=B8</t>
  </si>
  <si>
    <t>E18</t>
  </si>
  <si>
    <t>=B18-D18</t>
  </si>
  <si>
    <t>B19</t>
  </si>
  <si>
    <t>=C10</t>
  </si>
  <si>
    <t>D19</t>
  </si>
  <si>
    <t>=C8</t>
  </si>
  <si>
    <t>E19</t>
  </si>
  <si>
    <t>=B19-D19</t>
  </si>
  <si>
    <t>B20</t>
  </si>
  <si>
    <t>=D10</t>
  </si>
  <si>
    <t>D20</t>
  </si>
  <si>
    <t>=D8</t>
  </si>
  <si>
    <t>E20</t>
  </si>
  <si>
    <t>=B20-D20</t>
  </si>
  <si>
    <t>Problem 1 | Analytical sensitivity check</t>
  </si>
  <si>
    <t>Analytically reconstructed sensitivity values, checked against the LP basis. The native Excel report, if generated, is an additional worksheet. Ranges vary one input at a time.</t>
  </si>
  <si>
    <t>Variable</t>
  </si>
  <si>
    <t>Final value</t>
  </si>
  <si>
    <t>Reduced cost*</t>
  </si>
  <si>
    <t>Cost coefficient</t>
  </si>
  <si>
    <t>Allow. increase</t>
  </si>
  <si>
    <t>Allow. decrease</t>
  </si>
  <si>
    <t>Infinity</t>
  </si>
  <si>
    <t>*When the Dish 3 minimum is treated as a variable bound, its reduced cost is 0.5. With an explicit minimum row, the same marginal can be reported as that row's shadow price.</t>
  </si>
  <si>
    <t>Final LHS</t>
  </si>
  <si>
    <t>Shadow price</t>
  </si>
  <si>
    <t>RHS</t>
  </si>
  <si>
    <t>Time</t>
  </si>
  <si>
    <t>Storage</t>
  </si>
  <si>
    <t>Demand</t>
  </si>
  <si>
    <t>Dish 1 minimum</t>
  </si>
  <si>
    <t>Dish 2 minimum</t>
  </si>
  <si>
    <t>Dish 3 minimum</t>
  </si>
  <si>
    <t>Binding: storage, demand, and Dish 3 minimum. A binding constraint holds with equality at the optimum. Time has 25 minutes of slack; Dish 1 and Dish 2 minima have slack 25 and 5.</t>
  </si>
  <si>
    <t>Storage: one additional shelf lowers minimum cost by $30 for RHS in [7.5,10.5]. Demand: one additional required meal raises minimum cost by $7 for RHS in [47.5,65].</t>
  </si>
  <si>
    <t>Dish 3 minimum: one additional required Dish 3 meal raises minimum cost by $0.50 for its RHS in [0,20]. Other parameters stay fixed in each interpretation.</t>
  </si>
  <si>
    <t>Problem 1(f) | Cost versus required lunches</t>
  </si>
  <si>
    <t>Breakpoint</t>
  </si>
  <si>
    <t>Value</t>
  </si>
  <si>
    <t>Explanation</t>
  </si>
  <si>
    <t>Minimum production</t>
  </si>
  <si>
    <t>Storage kink</t>
  </si>
  <si>
    <t>Maximum lunches</t>
  </si>
  <si>
    <t>Continuous LP curve for the stated parameters: cost = 80 for D &lt;= 30; D + 50 for 30 &lt;= D &lt;= 47.5; 7D - 235 for 47.5 &lt;= D &lt;= 65. D &gt; 65 is infeasible.</t>
  </si>
  <si>
    <t>Chart formulas encode the stated basis regimes. If capacities or costs change, re-solve the LP before using these regimes. At D=65: (45,10,10), cost $220, cooking time 175.</t>
  </si>
  <si>
    <t>Required lunches</t>
  </si>
  <si>
    <t>Minimum cost</t>
  </si>
  <si>
    <t>Shelves used</t>
  </si>
  <si>
    <t>Status</t>
  </si>
  <si>
    <t>Problem 2 | Sensitivity statements</t>
  </si>
  <si>
    <t>Part</t>
  </si>
  <si>
    <t>Answer</t>
  </si>
  <si>
    <t>Justification</t>
  </si>
  <si>
    <t>a</t>
  </si>
  <si>
    <t>True</t>
  </si>
  <si>
    <t>For an optimal continuous LP, positive slack implies a zero dual multiplier by complementary slackness.</t>
  </si>
  <si>
    <t>b</t>
  </si>
  <si>
    <t>False</t>
  </si>
  <si>
    <t>Counterexample: minimize x1 subject to x1 &gt;= 1 and 0 &lt;= x2 &lt;= 1. Every (1,x2) is optimal, yet only x2 has a zero allowable coefficient change in at least one direction.</t>
  </si>
  <si>
    <t>c</t>
  </si>
  <si>
    <t>The joint RHS change is not guaranteed by separate ranges: 1/2 + 1/1 = 150%, exceeding the 100% rule. The objective might change by $8, but this report alone cannot establish it.</t>
  </si>
  <si>
    <t>d</t>
  </si>
  <si>
    <t>Resource 1 RHS can rise only to 12 under the stated shadow price; 14 exceeds that range. A $20 increase cannot be inferred.</t>
  </si>
  <si>
    <t>e</t>
  </si>
  <si>
    <t>The $3 marginal applies only while Resource 2 RHS is in [3,9], holding other data fixed. It is not valid for every additional unit indefinitely.</t>
  </si>
  <si>
    <t>f</t>
  </si>
  <si>
    <t>Final LHS equals RHS for both resources: 10=10 and 8=8; therefore both are binding.</t>
  </si>
  <si>
    <t>Resource</t>
  </si>
  <si>
    <t>Resource 1</t>
  </si>
  <si>
    <t>Resource 2</t>
  </si>
  <si>
    <t>Joint-change ratio</t>
  </si>
  <si>
    <t>The stated resource purchase costs do not extend sensitivity ranges. If this is profit before new resource purchases, an extra unit yields net gain $0 for Resource 1 and -$1 for Resource 2, within valid one-at-a-time ranges.</t>
  </si>
  <si>
    <t>Problem 3 | Base flight network</t>
  </si>
  <si>
    <t>Direct flights allowed from: none. Each row preserves one origin-destination demand.</t>
  </si>
  <si>
    <t>Origin</t>
  </si>
  <si>
    <t>Destination</t>
  </si>
  <si>
    <t>Via Chicago</t>
  </si>
  <si>
    <t>Via Atlanta</t>
  </si>
  <si>
    <t>Direct</t>
  </si>
  <si>
    <t>Assigned</t>
  </si>
  <si>
    <t>Residual</t>
  </si>
  <si>
    <t>Cost Chicago</t>
  </si>
  <si>
    <t>Cost Atlanta</t>
  </si>
  <si>
    <t>Cost direct</t>
  </si>
  <si>
    <t>Row cost</t>
  </si>
  <si>
    <t>Pittsburgh</t>
  </si>
  <si>
    <t>Miami</t>
  </si>
  <si>
    <t>Orlando</t>
  </si>
  <si>
    <t>New York</t>
  </si>
  <si>
    <t>Cleveland</t>
  </si>
  <si>
    <t>Columbus</t>
  </si>
  <si>
    <t>Arc origin</t>
  </si>
  <si>
    <t>Arc destination</t>
  </si>
  <si>
    <t>Capacity</t>
  </si>
  <si>
    <t>Flow</t>
  </si>
  <si>
    <t>Chicago</t>
  </si>
  <si>
    <t>Atlanta</t>
  </si>
  <si>
    <t>Direct origin</t>
  </si>
  <si>
    <t>Allowed capacity</t>
  </si>
  <si>
    <t>Objective $B$16, Min; changing cells $D$6:$F$14; Simplex LP; non-negative variables.</t>
  </si>
  <si>
    <t>Constraints: $G$6:$G$14 = $C$6:$C$14; $E$19:$E$30 &lt;= $C$19:$C$30; $D$33:$D$41 &lt;= $C$33:$C$41.</t>
  </si>
  <si>
    <t>Connecting path costs = first-leg cost + second-leg cost. Flow formulas aggregate all OD passengers using each flight. Capacities and OD demands stay fixed across scenarios.</t>
  </si>
  <si>
    <t>G6 (fill to G14)</t>
  </si>
  <si>
    <t>=SUM(D6:F6)</t>
  </si>
  <si>
    <t>H6 (fill to H14)</t>
  </si>
  <si>
    <t>=G6-C6</t>
  </si>
  <si>
    <t>I6, J6</t>
  </si>
  <si>
    <t>=$D$19+$D$25 ; =$D$20+$D$28</t>
  </si>
  <si>
    <t>L6 (fill to L14)</t>
  </si>
  <si>
    <t>=SUMPRODUCT(D6:F6,I6:K6)</t>
  </si>
  <si>
    <t>=SUM(L6:L14)</t>
  </si>
  <si>
    <t>E19, E20</t>
  </si>
  <si>
    <t>=SUM(D6:D8) ; =SUM(E6:E8)</t>
  </si>
  <si>
    <t>E25</t>
  </si>
  <si>
    <t>=D6+D9+D12</t>
  </si>
  <si>
    <t>F19 (fill to F30)</t>
  </si>
  <si>
    <t>=C19-E19</t>
  </si>
  <si>
    <t>D33, E33</t>
  </si>
  <si>
    <t>=F6 ; =C33-D33</t>
  </si>
  <si>
    <t>Problem 3 | Pittsburgh flight network</t>
  </si>
  <si>
    <t>Direct flights allowed from: Pittsburgh. Each row preserves one origin-destination demand.</t>
  </si>
  <si>
    <t>Problem 3 | Cleveland flight network</t>
  </si>
  <si>
    <t>Direct flights allowed from: Cleveland. Each row preserves one origin-destination demand.</t>
  </si>
  <si>
    <t>Problem 3 | Columbus flight network</t>
  </si>
  <si>
    <t>Direct flights allowed from: Columbus. Each row preserves one origin-destination demand.</t>
  </si>
  <si>
    <t>Problem 4 | Mentor assignment</t>
  </si>
  <si>
    <t>Score: mentor / mentee</t>
  </si>
  <si>
    <t>Alice</t>
  </si>
  <si>
    <t>Ben</t>
  </si>
  <si>
    <t>Carlos</t>
  </si>
  <si>
    <t>Diana</t>
  </si>
  <si>
    <t>Emma</t>
  </si>
  <si>
    <t>Frank</t>
  </si>
  <si>
    <t>A score of 0 below represents a forbidden pair, not an available zero-score match. Allowed-pair mask B26:G31 enforces the restrictions.</t>
  </si>
  <si>
    <t>Assign: mentor / mentee</t>
  </si>
  <si>
    <t>Mentee load</t>
  </si>
  <si>
    <t>Mentors assigned</t>
  </si>
  <si>
    <t>Required</t>
  </si>
  <si>
    <t>Allowed: mentor / mentee</t>
  </si>
  <si>
    <t>Total preference</t>
  </si>
  <si>
    <t>Objective $B$33, Max; changing cells $B$15:$G$20; Simplex LP; non-negative variables.</t>
  </si>
  <si>
    <t>Constraints: $H$15:$H$20 &lt;= $I$15:$I$20; $B$22:$G$22 = $B$23:$G$23; $B$15:$G$20 &lt;= $B$26:$G$31.</t>
  </si>
  <si>
    <t>This network LP has an integral optimum. Binary constraints may alternatively be added to B15:G20; the optimum remains 435.</t>
  </si>
  <si>
    <t>H15 (fill to H20)</t>
  </si>
  <si>
    <t>=SUM(B15:G15)</t>
  </si>
  <si>
    <t>B22 (fill across to G22)</t>
  </si>
  <si>
    <t>=SUM(B15:B20)</t>
  </si>
  <si>
    <t>B33</t>
  </si>
  <si>
    <t>=SUMPRODUCT(B5:G10,B15:G20)</t>
  </si>
  <si>
    <t>Result: Alice mentors Diana, Emma, Frank; Ben mentors Alice and Carlos; Carlos mentors Ben. Total preference 435. The Ben-Carlos reciprocal assignment and Carlos's score 20 motivate fairness and cycle restrictions.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</si>
</sst>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\$0.00"/>
    <numFmt numFmtId="166" formatCode="\$#,##0"/>
  </numFmts>
  <fonts count="11" x14ac:knownFonts="1">
    <font>
      <sz val="11"/>
      <color theme="1"/>
      <name val="Calibri"/>
      <family val="2"/>
      <scheme val="minor"/>
    </font>
    <font>
      <sz val="10"/>
      <color rgb="FF555555"/>
      <name val="Calibri"/>
      <family val="2"/>
    </font>
    <font>
      <sz val="11"/>
      <name val="Calibri"/>
      <family val="2"/>
    </font>
    <font>
      <sz val="11"/>
      <color rgb="FF222222"/>
      <name val="Calibri"/>
      <family val="2"/>
    </font>
    <font>
      <sz val="11"/>
      <color rgb="FF245BA8"/>
      <name val="Calibri"/>
      <family val="2"/>
    </font>
    <font>
      <sz val="11"/>
      <color rgb="FF000000"/>
      <name val="Calibri"/>
      <family val="2"/>
    </font>
    <font>
      <sz val="10"/>
      <name val="Consolas"/>
      <family val="2"/>
    </font>
    <font>
      <b/>
      <sz val="17"/>
      <color theme="1"/>
      <name val="Calibri (Body)"/>
    </font>
    <font>
      <sz val="11"/>
      <color theme="1"/>
      <name val="Calibri (Body)"/>
    </font>
    <font>
      <sz val="10"/>
      <color theme="1"/>
      <name val="Calibri (Body)"/>
    </font>
    <font>
      <b/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CE4D6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2" borderId="0" xfId="0" applyFont="1" applyFill="1" applyAlignment="1">
      <alignment vertical="center" wrapText="1"/>
    </xf>
    <xf numFmtId="164" fontId="5" fillId="3" borderId="0" xfId="0" applyNumberFormat="1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165" fontId="5" fillId="0" borderId="0" xfId="0" applyNumberFormat="1" applyFont="1" applyAlignment="1">
      <alignment vertical="center" wrapText="1"/>
    </xf>
    <xf numFmtId="9" fontId="5" fillId="0" borderId="0" xfId="0" applyNumberFormat="1" applyFont="1" applyAlignment="1">
      <alignment vertical="center" wrapText="1"/>
    </xf>
    <xf numFmtId="166" fontId="5" fillId="3" borderId="0" xfId="0" applyNumberFormat="1" applyFont="1" applyFill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Fill="1"/>
    <xf numFmtId="0" fontId="8" fillId="0" borderId="0" xfId="0" applyFont="1" applyFill="1"/>
    <xf numFmtId="0" fontId="9" fillId="0" borderId="0" xfId="0" applyFont="1"/>
    <xf numFmtId="0" fontId="8" fillId="0" borderId="0" xfId="0" applyFont="1"/>
    <xf numFmtId="0" fontId="10" fillId="0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Minimum cost vs. lunch demand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Continuous LP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'P1 Demand'!$A$13:$A$143</c:f>
              <c:numCache>
                <c:formatCode>General</c:formatCode>
                <c:ptCount val="13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</c:numCache>
            </c:numRef>
          </c:xVal>
          <c:yVal>
            <c:numRef>
              <c:f>'P1 Demand'!$E$13:$E$143</c:f>
              <c:numCache>
                <c:formatCode>\$0.00</c:formatCode>
                <c:ptCount val="131"/>
                <c:pt idx="0">
                  <c:v>80</c:v>
                </c:pt>
                <c:pt idx="1">
                  <c:v>80</c:v>
                </c:pt>
                <c:pt idx="2">
                  <c:v>80</c:v>
                </c:pt>
                <c:pt idx="3">
                  <c:v>80</c:v>
                </c:pt>
                <c:pt idx="4">
                  <c:v>80</c:v>
                </c:pt>
                <c:pt idx="5">
                  <c:v>80</c:v>
                </c:pt>
                <c:pt idx="6">
                  <c:v>80</c:v>
                </c:pt>
                <c:pt idx="7">
                  <c:v>80</c:v>
                </c:pt>
                <c:pt idx="8">
                  <c:v>80</c:v>
                </c:pt>
                <c:pt idx="9">
                  <c:v>80</c:v>
                </c:pt>
                <c:pt idx="10">
                  <c:v>80</c:v>
                </c:pt>
                <c:pt idx="11">
                  <c:v>80</c:v>
                </c:pt>
                <c:pt idx="12">
                  <c:v>80</c:v>
                </c:pt>
                <c:pt idx="13">
                  <c:v>80</c:v>
                </c:pt>
                <c:pt idx="14">
                  <c:v>80</c:v>
                </c:pt>
                <c:pt idx="15">
                  <c:v>80</c:v>
                </c:pt>
                <c:pt idx="16">
                  <c:v>80</c:v>
                </c:pt>
                <c:pt idx="17">
                  <c:v>80</c:v>
                </c:pt>
                <c:pt idx="18">
                  <c:v>80</c:v>
                </c:pt>
                <c:pt idx="19">
                  <c:v>80</c:v>
                </c:pt>
                <c:pt idx="20">
                  <c:v>80</c:v>
                </c:pt>
                <c:pt idx="21">
                  <c:v>80</c:v>
                </c:pt>
                <c:pt idx="22">
                  <c:v>80</c:v>
                </c:pt>
                <c:pt idx="23">
                  <c:v>80</c:v>
                </c:pt>
                <c:pt idx="24">
                  <c:v>80</c:v>
                </c:pt>
                <c:pt idx="25">
                  <c:v>80</c:v>
                </c:pt>
                <c:pt idx="26">
                  <c:v>80</c:v>
                </c:pt>
                <c:pt idx="27">
                  <c:v>80</c:v>
                </c:pt>
                <c:pt idx="28">
                  <c:v>80</c:v>
                </c:pt>
                <c:pt idx="29">
                  <c:v>80</c:v>
                </c:pt>
                <c:pt idx="30">
                  <c:v>80</c:v>
                </c:pt>
                <c:pt idx="31">
                  <c:v>80</c:v>
                </c:pt>
                <c:pt idx="32">
                  <c:v>80</c:v>
                </c:pt>
                <c:pt idx="33">
                  <c:v>80</c:v>
                </c:pt>
                <c:pt idx="34">
                  <c:v>80</c:v>
                </c:pt>
                <c:pt idx="35">
                  <c:v>80</c:v>
                </c:pt>
                <c:pt idx="36">
                  <c:v>80</c:v>
                </c:pt>
                <c:pt idx="37">
                  <c:v>80</c:v>
                </c:pt>
                <c:pt idx="38">
                  <c:v>80</c:v>
                </c:pt>
                <c:pt idx="39">
                  <c:v>80</c:v>
                </c:pt>
                <c:pt idx="40">
                  <c:v>80</c:v>
                </c:pt>
                <c:pt idx="41">
                  <c:v>80</c:v>
                </c:pt>
                <c:pt idx="42">
                  <c:v>80</c:v>
                </c:pt>
                <c:pt idx="43">
                  <c:v>80</c:v>
                </c:pt>
                <c:pt idx="44">
                  <c:v>80</c:v>
                </c:pt>
                <c:pt idx="45">
                  <c:v>80</c:v>
                </c:pt>
                <c:pt idx="46">
                  <c:v>80</c:v>
                </c:pt>
                <c:pt idx="47">
                  <c:v>80</c:v>
                </c:pt>
                <c:pt idx="48">
                  <c:v>80</c:v>
                </c:pt>
                <c:pt idx="49">
                  <c:v>80</c:v>
                </c:pt>
                <c:pt idx="50">
                  <c:v>80</c:v>
                </c:pt>
                <c:pt idx="51">
                  <c:v>80</c:v>
                </c:pt>
                <c:pt idx="52">
                  <c:v>80</c:v>
                </c:pt>
                <c:pt idx="53">
                  <c:v>80</c:v>
                </c:pt>
                <c:pt idx="54">
                  <c:v>80</c:v>
                </c:pt>
                <c:pt idx="55">
                  <c:v>80</c:v>
                </c:pt>
                <c:pt idx="56">
                  <c:v>80</c:v>
                </c:pt>
                <c:pt idx="57">
                  <c:v>80</c:v>
                </c:pt>
                <c:pt idx="58">
                  <c:v>80</c:v>
                </c:pt>
                <c:pt idx="59">
                  <c:v>80</c:v>
                </c:pt>
                <c:pt idx="60">
                  <c:v>80</c:v>
                </c:pt>
                <c:pt idx="61">
                  <c:v>80.5</c:v>
                </c:pt>
                <c:pt idx="62">
                  <c:v>81</c:v>
                </c:pt>
                <c:pt idx="63">
                  <c:v>81.5</c:v>
                </c:pt>
                <c:pt idx="64">
                  <c:v>82</c:v>
                </c:pt>
                <c:pt idx="65">
                  <c:v>82.5</c:v>
                </c:pt>
                <c:pt idx="66">
                  <c:v>83</c:v>
                </c:pt>
                <c:pt idx="67">
                  <c:v>83.5</c:v>
                </c:pt>
                <c:pt idx="68">
                  <c:v>84</c:v>
                </c:pt>
                <c:pt idx="69">
                  <c:v>84.5</c:v>
                </c:pt>
                <c:pt idx="70">
                  <c:v>85</c:v>
                </c:pt>
                <c:pt idx="71">
                  <c:v>85.5</c:v>
                </c:pt>
                <c:pt idx="72">
                  <c:v>86</c:v>
                </c:pt>
                <c:pt idx="73">
                  <c:v>86.5</c:v>
                </c:pt>
                <c:pt idx="74">
                  <c:v>87</c:v>
                </c:pt>
                <c:pt idx="75">
                  <c:v>87.5</c:v>
                </c:pt>
                <c:pt idx="76">
                  <c:v>88</c:v>
                </c:pt>
                <c:pt idx="77">
                  <c:v>88.5</c:v>
                </c:pt>
                <c:pt idx="78">
                  <c:v>89</c:v>
                </c:pt>
                <c:pt idx="79">
                  <c:v>89.5</c:v>
                </c:pt>
                <c:pt idx="80">
                  <c:v>90</c:v>
                </c:pt>
                <c:pt idx="81">
                  <c:v>90.5</c:v>
                </c:pt>
                <c:pt idx="82">
                  <c:v>91</c:v>
                </c:pt>
                <c:pt idx="83">
                  <c:v>91.5</c:v>
                </c:pt>
                <c:pt idx="84">
                  <c:v>92</c:v>
                </c:pt>
                <c:pt idx="85">
                  <c:v>92.5</c:v>
                </c:pt>
                <c:pt idx="86">
                  <c:v>93</c:v>
                </c:pt>
                <c:pt idx="87">
                  <c:v>93.5</c:v>
                </c:pt>
                <c:pt idx="88">
                  <c:v>94</c:v>
                </c:pt>
                <c:pt idx="89">
                  <c:v>94.5</c:v>
                </c:pt>
                <c:pt idx="90">
                  <c:v>95</c:v>
                </c:pt>
                <c:pt idx="91">
                  <c:v>95.5</c:v>
                </c:pt>
                <c:pt idx="92">
                  <c:v>96</c:v>
                </c:pt>
                <c:pt idx="93">
                  <c:v>96.5</c:v>
                </c:pt>
                <c:pt idx="94">
                  <c:v>97</c:v>
                </c:pt>
                <c:pt idx="95">
                  <c:v>97.5</c:v>
                </c:pt>
                <c:pt idx="96">
                  <c:v>101</c:v>
                </c:pt>
                <c:pt idx="97">
                  <c:v>104.5</c:v>
                </c:pt>
                <c:pt idx="98">
                  <c:v>108</c:v>
                </c:pt>
                <c:pt idx="99">
                  <c:v>111.5</c:v>
                </c:pt>
                <c:pt idx="100">
                  <c:v>115</c:v>
                </c:pt>
                <c:pt idx="101">
                  <c:v>118.5</c:v>
                </c:pt>
                <c:pt idx="102">
                  <c:v>122</c:v>
                </c:pt>
                <c:pt idx="103">
                  <c:v>125.5</c:v>
                </c:pt>
                <c:pt idx="104">
                  <c:v>129</c:v>
                </c:pt>
                <c:pt idx="105">
                  <c:v>132.5</c:v>
                </c:pt>
                <c:pt idx="106">
                  <c:v>136</c:v>
                </c:pt>
                <c:pt idx="107">
                  <c:v>139.5</c:v>
                </c:pt>
                <c:pt idx="108">
                  <c:v>143</c:v>
                </c:pt>
                <c:pt idx="109">
                  <c:v>146.5</c:v>
                </c:pt>
                <c:pt idx="110">
                  <c:v>150</c:v>
                </c:pt>
                <c:pt idx="111">
                  <c:v>153.5</c:v>
                </c:pt>
                <c:pt idx="112">
                  <c:v>157</c:v>
                </c:pt>
                <c:pt idx="113">
                  <c:v>160.5</c:v>
                </c:pt>
                <c:pt idx="114">
                  <c:v>164</c:v>
                </c:pt>
                <c:pt idx="115">
                  <c:v>167.5</c:v>
                </c:pt>
                <c:pt idx="116">
                  <c:v>171</c:v>
                </c:pt>
                <c:pt idx="117">
                  <c:v>174.5</c:v>
                </c:pt>
                <c:pt idx="118">
                  <c:v>178</c:v>
                </c:pt>
                <c:pt idx="119">
                  <c:v>181.5</c:v>
                </c:pt>
                <c:pt idx="120">
                  <c:v>185</c:v>
                </c:pt>
                <c:pt idx="121">
                  <c:v>188.5</c:v>
                </c:pt>
                <c:pt idx="122">
                  <c:v>192</c:v>
                </c:pt>
                <c:pt idx="123">
                  <c:v>195.5</c:v>
                </c:pt>
                <c:pt idx="124">
                  <c:v>199</c:v>
                </c:pt>
                <c:pt idx="125">
                  <c:v>202.5</c:v>
                </c:pt>
                <c:pt idx="126">
                  <c:v>206</c:v>
                </c:pt>
                <c:pt idx="127">
                  <c:v>209.5</c:v>
                </c:pt>
                <c:pt idx="128">
                  <c:v>213</c:v>
                </c:pt>
                <c:pt idx="129">
                  <c:v>216.5</c:v>
                </c:pt>
                <c:pt idx="130">
                  <c:v>220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D2F-914E-8D83-7E22C567D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Required lunches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Minimum cost ($)</a:t>
                </a:r>
              </a:p>
            </c:rich>
          </c:tx>
          <c:overlay val="1"/>
        </c:title>
        <c:numFmt formatCode="\$0.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3</xdr:row>
      <xdr:rowOff>0</xdr:rowOff>
    </xdr:from>
    <xdr:ext cx="828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Right="0"/>
    <pageSetUpPr fitToPage="1"/>
  </sheetPr>
  <dimension ref="A1:H44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A28" sqref="A28:B28"/>
    </sheetView>
  </sheetViews>
  <sheetFormatPr baseColWidth="10" defaultColWidth="8.83203125" defaultRowHeight="15" x14ac:dyDescent="0.2"/>
  <cols>
    <col min="1" max="1" width="27" customWidth="1"/>
    <col min="2" max="7" width="17" customWidth="1"/>
    <col min="8" max="8" width="20" customWidth="1"/>
  </cols>
  <sheetData>
    <row r="1" spans="1:8" ht="29" customHeight="1" x14ac:dyDescent="0.3">
      <c r="A1" s="15" t="s">
        <v>1</v>
      </c>
      <c r="B1" s="16"/>
      <c r="C1" s="16"/>
      <c r="D1" s="16"/>
      <c r="E1" s="16"/>
      <c r="F1" s="16"/>
      <c r="G1" s="16"/>
      <c r="H1" s="16"/>
    </row>
    <row r="2" spans="1:8" x14ac:dyDescent="0.2">
      <c r="A2" s="17" t="s">
        <v>0</v>
      </c>
      <c r="B2" s="18"/>
      <c r="C2" s="18"/>
      <c r="D2" s="18"/>
      <c r="E2" s="18"/>
      <c r="F2" s="18"/>
      <c r="G2" s="18"/>
      <c r="H2" s="18"/>
    </row>
    <row r="4" spans="1:8" ht="30" customHeight="1" x14ac:dyDescent="0.2">
      <c r="A4" s="19" t="s">
        <v>2</v>
      </c>
      <c r="B4" s="19" t="s">
        <v>3</v>
      </c>
      <c r="C4" s="19" t="s">
        <v>4</v>
      </c>
      <c r="D4" s="19" t="s">
        <v>5</v>
      </c>
    </row>
    <row r="5" spans="1:8" ht="23" customHeight="1" x14ac:dyDescent="0.2">
      <c r="A5" s="1" t="s">
        <v>6</v>
      </c>
      <c r="B5" s="2">
        <v>4</v>
      </c>
      <c r="C5" s="2">
        <v>1</v>
      </c>
      <c r="D5" s="2">
        <v>3</v>
      </c>
    </row>
    <row r="6" spans="1:8" ht="23" customHeight="1" x14ac:dyDescent="0.2">
      <c r="A6" s="1" t="s">
        <v>7</v>
      </c>
      <c r="B6" s="2">
        <v>3</v>
      </c>
      <c r="C6" s="2">
        <v>2</v>
      </c>
      <c r="D6" s="2">
        <v>2</v>
      </c>
    </row>
    <row r="7" spans="1:8" ht="23" customHeight="1" x14ac:dyDescent="0.2">
      <c r="A7" s="1" t="s">
        <v>8</v>
      </c>
      <c r="B7" s="2">
        <v>0.1</v>
      </c>
      <c r="C7" s="2">
        <v>0.2</v>
      </c>
      <c r="D7" s="2">
        <v>0.15</v>
      </c>
    </row>
    <row r="8" spans="1:8" ht="23" customHeight="1" x14ac:dyDescent="0.2">
      <c r="A8" s="1" t="s">
        <v>9</v>
      </c>
      <c r="B8" s="2">
        <v>10</v>
      </c>
      <c r="C8" s="2">
        <v>10</v>
      </c>
      <c r="D8" s="2">
        <v>10</v>
      </c>
    </row>
    <row r="10" spans="1:8" ht="23" customHeight="1" x14ac:dyDescent="0.2">
      <c r="A10" s="1" t="s">
        <v>10</v>
      </c>
      <c r="B10" s="3">
        <v>35</v>
      </c>
      <c r="C10" s="3">
        <v>14.999999999999996</v>
      </c>
      <c r="D10" s="3">
        <v>10</v>
      </c>
    </row>
    <row r="12" spans="1:8" ht="23" customHeight="1" x14ac:dyDescent="0.2">
      <c r="A12" s="1" t="s">
        <v>11</v>
      </c>
      <c r="B12" s="4">
        <f>SUMPRODUCT(B5:D5,B10:D10)</f>
        <v>185</v>
      </c>
    </row>
    <row r="14" spans="1:8" ht="30" customHeight="1" x14ac:dyDescent="0.2">
      <c r="A14" s="19" t="s">
        <v>12</v>
      </c>
      <c r="B14" s="19" t="s">
        <v>13</v>
      </c>
      <c r="C14" s="19" t="s">
        <v>14</v>
      </c>
      <c r="D14" s="19" t="s">
        <v>15</v>
      </c>
      <c r="E14" s="19" t="s">
        <v>16</v>
      </c>
    </row>
    <row r="15" spans="1:8" ht="23" customHeight="1" x14ac:dyDescent="0.2">
      <c r="A15" s="1" t="s">
        <v>17</v>
      </c>
      <c r="B15" s="5">
        <f>SUMPRODUCT(B6:D6,B10:D10)</f>
        <v>155</v>
      </c>
      <c r="C15" s="1" t="s">
        <v>18</v>
      </c>
      <c r="D15" s="2">
        <v>180</v>
      </c>
      <c r="E15" s="5">
        <f>D15-B15</f>
        <v>25</v>
      </c>
    </row>
    <row r="16" spans="1:8" ht="23" customHeight="1" x14ac:dyDescent="0.2">
      <c r="A16" s="1" t="s">
        <v>19</v>
      </c>
      <c r="B16" s="5">
        <f>SUMPRODUCT(B7:D7,B10:D10)</f>
        <v>8</v>
      </c>
      <c r="C16" s="1" t="s">
        <v>18</v>
      </c>
      <c r="D16" s="2">
        <v>8</v>
      </c>
      <c r="E16" s="5">
        <f>D16-B16</f>
        <v>0</v>
      </c>
    </row>
    <row r="17" spans="1:8" ht="23" customHeight="1" x14ac:dyDescent="0.2">
      <c r="A17" s="1" t="s">
        <v>20</v>
      </c>
      <c r="B17" s="5">
        <f>SUM(B10:D10)</f>
        <v>60</v>
      </c>
      <c r="C17" s="1" t="s">
        <v>21</v>
      </c>
      <c r="D17" s="2">
        <v>60</v>
      </c>
      <c r="E17" s="5">
        <f>B17-D17</f>
        <v>0</v>
      </c>
    </row>
    <row r="18" spans="1:8" ht="23" customHeight="1" x14ac:dyDescent="0.2">
      <c r="A18" s="1" t="s">
        <v>22</v>
      </c>
      <c r="B18" s="5">
        <f>B10</f>
        <v>35</v>
      </c>
      <c r="C18" s="1" t="s">
        <v>21</v>
      </c>
      <c r="D18" s="5">
        <f>B8</f>
        <v>10</v>
      </c>
      <c r="E18" s="5">
        <f>B18-D18</f>
        <v>25</v>
      </c>
    </row>
    <row r="19" spans="1:8" ht="23" customHeight="1" x14ac:dyDescent="0.2">
      <c r="A19" s="1" t="s">
        <v>23</v>
      </c>
      <c r="B19" s="5">
        <f>C10</f>
        <v>14.999999999999996</v>
      </c>
      <c r="C19" s="1" t="s">
        <v>21</v>
      </c>
      <c r="D19" s="5">
        <f>C8</f>
        <v>10</v>
      </c>
      <c r="E19" s="5">
        <f>B19-D19</f>
        <v>4.9999999999999964</v>
      </c>
    </row>
    <row r="20" spans="1:8" ht="23" customHeight="1" x14ac:dyDescent="0.2">
      <c r="A20" s="1" t="s">
        <v>24</v>
      </c>
      <c r="B20" s="5">
        <f>D10</f>
        <v>10</v>
      </c>
      <c r="C20" s="1" t="s">
        <v>21</v>
      </c>
      <c r="D20" s="5">
        <f>D8</f>
        <v>10</v>
      </c>
      <c r="E20" s="5">
        <f>B20-D20</f>
        <v>0</v>
      </c>
    </row>
    <row r="23" spans="1:8" ht="30" customHeight="1" x14ac:dyDescent="0.2">
      <c r="A23" s="19" t="s">
        <v>25</v>
      </c>
      <c r="B23" s="19" t="s">
        <v>26</v>
      </c>
    </row>
    <row r="24" spans="1:8" ht="25" customHeight="1" x14ac:dyDescent="0.2">
      <c r="A24" s="11" t="s">
        <v>27</v>
      </c>
      <c r="B24" s="10"/>
      <c r="C24" s="10"/>
      <c r="D24" s="10"/>
      <c r="E24" s="10"/>
      <c r="F24" s="10"/>
      <c r="G24" s="10"/>
      <c r="H24" s="10"/>
    </row>
    <row r="25" spans="1:8" ht="25" customHeight="1" x14ac:dyDescent="0.2">
      <c r="A25" s="11" t="s">
        <v>28</v>
      </c>
      <c r="B25" s="10"/>
      <c r="C25" s="10"/>
      <c r="D25" s="10"/>
      <c r="E25" s="10"/>
      <c r="F25" s="10"/>
      <c r="G25" s="10"/>
      <c r="H25" s="10"/>
    </row>
    <row r="26" spans="1:8" ht="30" customHeight="1" x14ac:dyDescent="0.2">
      <c r="A26" s="11" t="s">
        <v>29</v>
      </c>
      <c r="B26" s="10"/>
      <c r="C26" s="10"/>
      <c r="D26" s="10"/>
      <c r="E26" s="10"/>
      <c r="F26" s="10"/>
      <c r="G26" s="10"/>
      <c r="H26" s="10"/>
    </row>
    <row r="28" spans="1:8" ht="30" customHeight="1" x14ac:dyDescent="0.2">
      <c r="A28" s="19" t="s">
        <v>30</v>
      </c>
      <c r="B28" s="19" t="s">
        <v>31</v>
      </c>
    </row>
    <row r="29" spans="1:8" ht="29" customHeight="1" x14ac:dyDescent="0.2">
      <c r="A29" t="s">
        <v>32</v>
      </c>
      <c r="B29" s="13" t="s">
        <v>33</v>
      </c>
      <c r="C29" s="10"/>
      <c r="D29" s="10"/>
      <c r="E29" s="10"/>
      <c r="F29" s="10"/>
      <c r="G29" s="10"/>
      <c r="H29" s="10"/>
    </row>
    <row r="30" spans="1:8" ht="29" customHeight="1" x14ac:dyDescent="0.2">
      <c r="A30" t="s">
        <v>34</v>
      </c>
      <c r="B30" s="13" t="s">
        <v>35</v>
      </c>
      <c r="C30" s="10"/>
      <c r="D30" s="10"/>
      <c r="E30" s="10"/>
      <c r="F30" s="10"/>
      <c r="G30" s="10"/>
      <c r="H30" s="10"/>
    </row>
    <row r="31" spans="1:8" ht="29" customHeight="1" x14ac:dyDescent="0.2">
      <c r="A31" t="s">
        <v>36</v>
      </c>
      <c r="B31" s="13" t="s">
        <v>37</v>
      </c>
      <c r="C31" s="10"/>
      <c r="D31" s="10"/>
      <c r="E31" s="10"/>
      <c r="F31" s="10"/>
      <c r="G31" s="10"/>
      <c r="H31" s="10"/>
    </row>
    <row r="32" spans="1:8" ht="29" customHeight="1" x14ac:dyDescent="0.2">
      <c r="A32" t="s">
        <v>38</v>
      </c>
      <c r="B32" s="13" t="s">
        <v>39</v>
      </c>
      <c r="C32" s="10"/>
      <c r="D32" s="10"/>
      <c r="E32" s="10"/>
      <c r="F32" s="10"/>
      <c r="G32" s="10"/>
      <c r="H32" s="10"/>
    </row>
    <row r="33" spans="1:8" ht="29" customHeight="1" x14ac:dyDescent="0.2">
      <c r="A33" t="s">
        <v>40</v>
      </c>
      <c r="B33" s="13" t="s">
        <v>41</v>
      </c>
      <c r="C33" s="10"/>
      <c r="D33" s="10"/>
      <c r="E33" s="10"/>
      <c r="F33" s="10"/>
      <c r="G33" s="10"/>
      <c r="H33" s="10"/>
    </row>
    <row r="34" spans="1:8" ht="29" customHeight="1" x14ac:dyDescent="0.2">
      <c r="A34" t="s">
        <v>42</v>
      </c>
      <c r="B34" s="13" t="s">
        <v>43</v>
      </c>
      <c r="C34" s="10"/>
      <c r="D34" s="10"/>
      <c r="E34" s="10"/>
      <c r="F34" s="10"/>
      <c r="G34" s="10"/>
      <c r="H34" s="10"/>
    </row>
    <row r="35" spans="1:8" ht="29" customHeight="1" x14ac:dyDescent="0.2">
      <c r="A35" t="s">
        <v>44</v>
      </c>
      <c r="B35" s="13" t="s">
        <v>45</v>
      </c>
      <c r="C35" s="10"/>
      <c r="D35" s="10"/>
      <c r="E35" s="10"/>
      <c r="F35" s="10"/>
      <c r="G35" s="10"/>
      <c r="H35" s="10"/>
    </row>
    <row r="36" spans="1:8" ht="29" customHeight="1" x14ac:dyDescent="0.2">
      <c r="A36" t="s">
        <v>46</v>
      </c>
      <c r="B36" s="13" t="s">
        <v>47</v>
      </c>
      <c r="C36" s="10"/>
      <c r="D36" s="10"/>
      <c r="E36" s="10"/>
      <c r="F36" s="10"/>
      <c r="G36" s="10"/>
      <c r="H36" s="10"/>
    </row>
    <row r="37" spans="1:8" ht="29" customHeight="1" x14ac:dyDescent="0.2">
      <c r="A37" t="s">
        <v>48</v>
      </c>
      <c r="B37" s="13" t="s">
        <v>49</v>
      </c>
      <c r="C37" s="10"/>
      <c r="D37" s="10"/>
      <c r="E37" s="10"/>
      <c r="F37" s="10"/>
      <c r="G37" s="10"/>
      <c r="H37" s="10"/>
    </row>
    <row r="38" spans="1:8" ht="29" customHeight="1" x14ac:dyDescent="0.2">
      <c r="A38" t="s">
        <v>50</v>
      </c>
      <c r="B38" s="13" t="s">
        <v>51</v>
      </c>
      <c r="C38" s="10"/>
      <c r="D38" s="10"/>
      <c r="E38" s="10"/>
      <c r="F38" s="10"/>
      <c r="G38" s="10"/>
      <c r="H38" s="10"/>
    </row>
    <row r="39" spans="1:8" ht="29" customHeight="1" x14ac:dyDescent="0.2">
      <c r="A39" t="s">
        <v>52</v>
      </c>
      <c r="B39" s="13" t="s">
        <v>53</v>
      </c>
      <c r="C39" s="10"/>
      <c r="D39" s="10"/>
      <c r="E39" s="10"/>
      <c r="F39" s="10"/>
      <c r="G39" s="10"/>
      <c r="H39" s="10"/>
    </row>
    <row r="40" spans="1:8" ht="29" customHeight="1" x14ac:dyDescent="0.2">
      <c r="A40" t="s">
        <v>54</v>
      </c>
      <c r="B40" s="13" t="s">
        <v>55</v>
      </c>
      <c r="C40" s="10"/>
      <c r="D40" s="10"/>
      <c r="E40" s="10"/>
      <c r="F40" s="10"/>
      <c r="G40" s="10"/>
      <c r="H40" s="10"/>
    </row>
    <row r="41" spans="1:8" ht="29" customHeight="1" x14ac:dyDescent="0.2">
      <c r="A41" t="s">
        <v>56</v>
      </c>
      <c r="B41" s="13" t="s">
        <v>57</v>
      </c>
      <c r="C41" s="10"/>
      <c r="D41" s="10"/>
      <c r="E41" s="10"/>
      <c r="F41" s="10"/>
      <c r="G41" s="10"/>
      <c r="H41" s="10"/>
    </row>
    <row r="42" spans="1:8" ht="29" customHeight="1" x14ac:dyDescent="0.2">
      <c r="A42" t="s">
        <v>58</v>
      </c>
      <c r="B42" s="13" t="s">
        <v>59</v>
      </c>
      <c r="C42" s="10"/>
      <c r="D42" s="10"/>
      <c r="E42" s="10"/>
      <c r="F42" s="10"/>
      <c r="G42" s="10"/>
      <c r="H42" s="10"/>
    </row>
    <row r="43" spans="1:8" ht="29" customHeight="1" x14ac:dyDescent="0.2">
      <c r="A43" t="s">
        <v>60</v>
      </c>
      <c r="B43" s="13" t="s">
        <v>61</v>
      </c>
      <c r="C43" s="10"/>
      <c r="D43" s="10"/>
      <c r="E43" s="10"/>
      <c r="F43" s="10"/>
      <c r="G43" s="10"/>
      <c r="H43" s="10"/>
    </row>
    <row r="44" spans="1:8" ht="29" customHeight="1" x14ac:dyDescent="0.2">
      <c r="A44" t="s">
        <v>62</v>
      </c>
      <c r="B44" s="13" t="s">
        <v>63</v>
      </c>
      <c r="C44" s="10"/>
      <c r="D44" s="10"/>
      <c r="E44" s="10"/>
      <c r="F44" s="10"/>
      <c r="G44" s="10"/>
      <c r="H44" s="10"/>
    </row>
  </sheetData>
  <mergeCells count="21">
    <mergeCell ref="A24:H24"/>
    <mergeCell ref="B30:H30"/>
    <mergeCell ref="B33:H33"/>
    <mergeCell ref="A1:H1"/>
    <mergeCell ref="B37:H37"/>
    <mergeCell ref="B36:H36"/>
    <mergeCell ref="B32:H32"/>
    <mergeCell ref="A2:H2"/>
    <mergeCell ref="A25:H25"/>
    <mergeCell ref="B35:H35"/>
    <mergeCell ref="B31:H31"/>
    <mergeCell ref="A26:H26"/>
    <mergeCell ref="B29:H29"/>
    <mergeCell ref="B34:H34"/>
    <mergeCell ref="B43:H43"/>
    <mergeCell ref="B39:H39"/>
    <mergeCell ref="B42:H42"/>
    <mergeCell ref="B44:H44"/>
    <mergeCell ref="B38:H38"/>
    <mergeCell ref="B41:H41"/>
    <mergeCell ref="B40:H40"/>
  </mergeCells>
  <printOptions horizontalCentered="1" headings="1"/>
  <pageMargins left="0.75" right="0.75" top="1" bottom="1" header="0.5" footer="0.5"/>
  <pageSetup paperSize="9" fitToHeight="0" orientation="landscape"/>
  <headerFooter>
    <oddFooter>&amp;CDMU HW2 | mnagersh | Page &amp;P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Right="0"/>
    <pageSetUpPr fitToPage="1"/>
  </sheetPr>
  <dimension ref="A1:H25"/>
  <sheetViews>
    <sheetView showGridLines="0" workbookViewId="0">
      <pane xSplit="1" ySplit="4" topLeftCell="B12" activePane="bottomRight" state="frozen"/>
      <selection pane="topRight"/>
      <selection pane="bottomLeft"/>
      <selection pane="bottomRight" activeCell="A2" sqref="A2:H2"/>
    </sheetView>
  </sheetViews>
  <sheetFormatPr baseColWidth="10" defaultColWidth="8.83203125" defaultRowHeight="15" x14ac:dyDescent="0.2"/>
  <cols>
    <col min="1" max="1" width="25" customWidth="1"/>
    <col min="2" max="4" width="16" customWidth="1"/>
    <col min="5" max="7" width="18" customWidth="1"/>
    <col min="8" max="8" width="20" customWidth="1"/>
  </cols>
  <sheetData>
    <row r="1" spans="1:8" ht="29" customHeight="1" x14ac:dyDescent="0.3">
      <c r="A1" s="15" t="s">
        <v>64</v>
      </c>
      <c r="B1" s="16"/>
      <c r="C1" s="16"/>
      <c r="D1" s="16"/>
      <c r="E1" s="16"/>
      <c r="F1" s="16"/>
      <c r="G1" s="16"/>
      <c r="H1" s="16"/>
    </row>
    <row r="2" spans="1:8" x14ac:dyDescent="0.2">
      <c r="A2" s="12"/>
      <c r="B2" s="10"/>
      <c r="C2" s="10"/>
      <c r="D2" s="10"/>
      <c r="E2" s="10"/>
      <c r="F2" s="10"/>
      <c r="G2" s="10"/>
      <c r="H2" s="10"/>
    </row>
    <row r="4" spans="1:8" ht="36" customHeight="1" x14ac:dyDescent="0.2">
      <c r="A4" s="11" t="s">
        <v>65</v>
      </c>
      <c r="B4" s="10"/>
      <c r="C4" s="10"/>
      <c r="D4" s="10"/>
      <c r="E4" s="10"/>
      <c r="F4" s="10"/>
      <c r="G4" s="10"/>
      <c r="H4" s="10"/>
    </row>
    <row r="6" spans="1:8" ht="30" customHeight="1" x14ac:dyDescent="0.2">
      <c r="A6" s="19" t="s">
        <v>66</v>
      </c>
      <c r="B6" s="19" t="s">
        <v>67</v>
      </c>
      <c r="C6" s="19" t="s">
        <v>68</v>
      </c>
      <c r="D6" s="19" t="s">
        <v>69</v>
      </c>
      <c r="E6" s="19" t="s">
        <v>70</v>
      </c>
      <c r="F6" s="19" t="s">
        <v>71</v>
      </c>
    </row>
    <row r="7" spans="1:8" ht="23" customHeight="1" x14ac:dyDescent="0.2">
      <c r="A7" s="1" t="s">
        <v>3</v>
      </c>
      <c r="B7" s="2">
        <v>35</v>
      </c>
      <c r="C7" s="2">
        <v>0</v>
      </c>
      <c r="D7" s="2">
        <v>4</v>
      </c>
      <c r="E7" s="2">
        <v>1</v>
      </c>
      <c r="F7" s="2">
        <v>3</v>
      </c>
    </row>
    <row r="8" spans="1:8" ht="23" customHeight="1" x14ac:dyDescent="0.2">
      <c r="A8" s="1" t="s">
        <v>4</v>
      </c>
      <c r="B8" s="2">
        <v>15</v>
      </c>
      <c r="C8" s="2">
        <v>0</v>
      </c>
      <c r="D8" s="2">
        <v>1</v>
      </c>
      <c r="E8" s="2">
        <v>1</v>
      </c>
      <c r="F8" s="1" t="s">
        <v>72</v>
      </c>
    </row>
    <row r="9" spans="1:8" ht="23" customHeight="1" x14ac:dyDescent="0.2">
      <c r="A9" s="1" t="s">
        <v>5</v>
      </c>
      <c r="B9" s="2">
        <v>10</v>
      </c>
      <c r="C9" s="2">
        <v>0.5</v>
      </c>
      <c r="D9" s="2">
        <v>3</v>
      </c>
      <c r="E9" s="1" t="s">
        <v>72</v>
      </c>
      <c r="F9" s="2">
        <v>0.5</v>
      </c>
    </row>
    <row r="10" spans="1:8" ht="35" customHeight="1" x14ac:dyDescent="0.2">
      <c r="A10" s="11" t="s">
        <v>73</v>
      </c>
      <c r="B10" s="10"/>
      <c r="C10" s="10"/>
      <c r="D10" s="10"/>
      <c r="E10" s="10"/>
      <c r="F10" s="10"/>
      <c r="G10" s="10"/>
      <c r="H10" s="10"/>
    </row>
    <row r="12" spans="1:8" ht="30" customHeight="1" x14ac:dyDescent="0.2">
      <c r="A12" s="19" t="s">
        <v>12</v>
      </c>
      <c r="B12" s="19" t="s">
        <v>74</v>
      </c>
      <c r="C12" s="19" t="s">
        <v>75</v>
      </c>
      <c r="D12" s="19" t="s">
        <v>76</v>
      </c>
      <c r="E12" s="19" t="s">
        <v>70</v>
      </c>
      <c r="F12" s="19" t="s">
        <v>71</v>
      </c>
    </row>
    <row r="13" spans="1:8" ht="23" customHeight="1" x14ac:dyDescent="0.2">
      <c r="A13" s="1" t="s">
        <v>77</v>
      </c>
      <c r="B13" s="2">
        <v>155</v>
      </c>
      <c r="C13" s="2">
        <v>0</v>
      </c>
      <c r="D13" s="2">
        <v>180</v>
      </c>
      <c r="E13" s="1" t="s">
        <v>72</v>
      </c>
      <c r="F13" s="2">
        <v>25</v>
      </c>
    </row>
    <row r="14" spans="1:8" ht="23" customHeight="1" x14ac:dyDescent="0.2">
      <c r="A14" s="1" t="s">
        <v>78</v>
      </c>
      <c r="B14" s="2">
        <v>8</v>
      </c>
      <c r="C14" s="2">
        <v>-30</v>
      </c>
      <c r="D14" s="2">
        <v>8</v>
      </c>
      <c r="E14" s="2">
        <v>2.5</v>
      </c>
      <c r="F14" s="2">
        <v>0.5</v>
      </c>
    </row>
    <row r="15" spans="1:8" ht="23" customHeight="1" x14ac:dyDescent="0.2">
      <c r="A15" s="1" t="s">
        <v>79</v>
      </c>
      <c r="B15" s="2">
        <v>60</v>
      </c>
      <c r="C15" s="2">
        <v>7</v>
      </c>
      <c r="D15" s="2">
        <v>60</v>
      </c>
      <c r="E15" s="2">
        <v>5</v>
      </c>
      <c r="F15" s="2">
        <v>12.5</v>
      </c>
    </row>
    <row r="16" spans="1:8" ht="23" customHeight="1" x14ac:dyDescent="0.2">
      <c r="A16" s="1" t="s">
        <v>80</v>
      </c>
      <c r="B16" s="2">
        <v>35</v>
      </c>
      <c r="C16" s="2">
        <v>0</v>
      </c>
      <c r="D16" s="2">
        <v>10</v>
      </c>
      <c r="E16" s="2">
        <v>25</v>
      </c>
      <c r="F16" s="1" t="s">
        <v>72</v>
      </c>
    </row>
    <row r="17" spans="1:8" ht="23" customHeight="1" x14ac:dyDescent="0.2">
      <c r="A17" s="1" t="s">
        <v>81</v>
      </c>
      <c r="B17" s="2">
        <v>15</v>
      </c>
      <c r="C17" s="2">
        <v>0</v>
      </c>
      <c r="D17" s="2">
        <v>10</v>
      </c>
      <c r="E17" s="2">
        <v>5</v>
      </c>
      <c r="F17" s="1" t="s">
        <v>72</v>
      </c>
    </row>
    <row r="18" spans="1:8" ht="23" customHeight="1" x14ac:dyDescent="0.2">
      <c r="A18" s="1" t="s">
        <v>82</v>
      </c>
      <c r="B18" s="2">
        <v>10</v>
      </c>
      <c r="C18" s="2">
        <v>0.5</v>
      </c>
      <c r="D18" s="2">
        <v>10</v>
      </c>
      <c r="E18" s="2">
        <v>10</v>
      </c>
      <c r="F18" s="2">
        <v>10</v>
      </c>
    </row>
    <row r="21" spans="1:8" ht="40" customHeight="1" x14ac:dyDescent="0.2">
      <c r="A21" s="11" t="s">
        <v>83</v>
      </c>
      <c r="B21" s="10"/>
      <c r="C21" s="10"/>
      <c r="D21" s="10"/>
      <c r="E21" s="10"/>
      <c r="F21" s="10"/>
      <c r="G21" s="10"/>
      <c r="H21" s="10"/>
    </row>
    <row r="23" spans="1:8" ht="40" customHeight="1" x14ac:dyDescent="0.2">
      <c r="A23" s="11" t="s">
        <v>84</v>
      </c>
      <c r="B23" s="10"/>
      <c r="C23" s="10"/>
      <c r="D23" s="10"/>
      <c r="E23" s="10"/>
      <c r="F23" s="10"/>
      <c r="G23" s="10"/>
      <c r="H23" s="10"/>
    </row>
    <row r="25" spans="1:8" ht="35" customHeight="1" x14ac:dyDescent="0.2">
      <c r="A25" s="11" t="s">
        <v>85</v>
      </c>
      <c r="B25" s="10"/>
      <c r="C25" s="10"/>
      <c r="D25" s="10"/>
      <c r="E25" s="10"/>
      <c r="F25" s="10"/>
      <c r="G25" s="10"/>
      <c r="H25" s="10"/>
    </row>
  </sheetData>
  <mergeCells count="7">
    <mergeCell ref="A1:H1"/>
    <mergeCell ref="A23:H23"/>
    <mergeCell ref="A4:H4"/>
    <mergeCell ref="A21:H21"/>
    <mergeCell ref="A25:H25"/>
    <mergeCell ref="A2:H2"/>
    <mergeCell ref="A10:H10"/>
  </mergeCells>
  <printOptions horizontalCentered="1" headings="1"/>
  <pageMargins left="0.75" right="0.75" top="1" bottom="1" header="0.5" footer="0.5"/>
  <pageSetup paperSize="9" fitToHeight="0" orientation="landscape"/>
  <headerFooter>
    <oddFooter>&amp;CDMU HW2 | mnagersh | 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Right="0"/>
    <pageSetUpPr fitToPage="1"/>
  </sheetPr>
  <dimension ref="A1:H14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D7" sqref="D7"/>
    </sheetView>
  </sheetViews>
  <sheetFormatPr baseColWidth="10" defaultColWidth="8.83203125" defaultRowHeight="15" x14ac:dyDescent="0.2"/>
  <cols>
    <col min="1" max="1" width="20" customWidth="1"/>
    <col min="2" max="2" width="19" customWidth="1"/>
    <col min="3" max="6" width="18" customWidth="1"/>
    <col min="7" max="7" width="20" customWidth="1"/>
    <col min="8" max="8" width="22" customWidth="1"/>
  </cols>
  <sheetData>
    <row r="1" spans="1:8" ht="29" customHeight="1" x14ac:dyDescent="0.3">
      <c r="A1" s="15" t="s">
        <v>86</v>
      </c>
      <c r="B1" s="16"/>
      <c r="C1" s="16"/>
      <c r="D1" s="16"/>
      <c r="E1" s="16"/>
      <c r="F1" s="16"/>
      <c r="G1" s="16"/>
      <c r="H1" s="16"/>
    </row>
    <row r="2" spans="1:8" x14ac:dyDescent="0.2">
      <c r="A2" s="12"/>
      <c r="B2" s="10"/>
      <c r="C2" s="10"/>
      <c r="D2" s="10"/>
      <c r="E2" s="10"/>
      <c r="F2" s="10"/>
      <c r="G2" s="10"/>
      <c r="H2" s="10"/>
    </row>
    <row r="4" spans="1:8" ht="30" customHeight="1" x14ac:dyDescent="0.2">
      <c r="A4" s="19" t="s">
        <v>87</v>
      </c>
      <c r="B4" s="19" t="s">
        <v>88</v>
      </c>
      <c r="C4" s="19" t="s">
        <v>89</v>
      </c>
    </row>
    <row r="5" spans="1:8" ht="23" customHeight="1" x14ac:dyDescent="0.2">
      <c r="A5" s="1" t="s">
        <v>90</v>
      </c>
      <c r="B5" s="5">
        <f>SUM('P1 Lunch'!B8:D8)</f>
        <v>30</v>
      </c>
    </row>
    <row r="6" spans="1:8" ht="23" customHeight="1" x14ac:dyDescent="0.2">
      <c r="A6" s="1" t="s">
        <v>91</v>
      </c>
      <c r="B6" s="5">
        <f>('P1 Lunch'!D16-'P1 Lunch'!B7*'P1 Lunch'!B8-'P1 Lunch'!D7*'P1 Lunch'!D8)/'P1 Lunch'!C7+'P1 Lunch'!B8+'P1 Lunch'!D8</f>
        <v>47.5</v>
      </c>
    </row>
    <row r="7" spans="1:8" ht="23" customHeight="1" x14ac:dyDescent="0.2">
      <c r="A7" s="1" t="s">
        <v>92</v>
      </c>
      <c r="B7" s="5">
        <f>('P1 Lunch'!D16-('P1 Lunch'!C7-'P1 Lunch'!B7)*'P1 Lunch'!C8-('P1 Lunch'!D7-'P1 Lunch'!B7)*'P1 Lunch'!D8)/'P1 Lunch'!B7</f>
        <v>65</v>
      </c>
    </row>
    <row r="9" spans="1:8" ht="37" customHeight="1" x14ac:dyDescent="0.2">
      <c r="A9" s="11" t="s">
        <v>93</v>
      </c>
      <c r="B9" s="10"/>
      <c r="C9" s="10"/>
      <c r="D9" s="10"/>
      <c r="E9" s="10"/>
      <c r="F9" s="10"/>
      <c r="G9" s="10"/>
      <c r="H9" s="10"/>
    </row>
    <row r="10" spans="1:8" ht="37" customHeight="1" x14ac:dyDescent="0.2">
      <c r="A10" s="11" t="s">
        <v>94</v>
      </c>
      <c r="B10" s="10"/>
      <c r="C10" s="10"/>
      <c r="D10" s="10"/>
      <c r="E10" s="10"/>
      <c r="F10" s="10"/>
      <c r="G10" s="10"/>
      <c r="H10" s="10"/>
    </row>
    <row r="12" spans="1:8" ht="30" customHeight="1" x14ac:dyDescent="0.2">
      <c r="A12" s="19" t="s">
        <v>95</v>
      </c>
      <c r="B12" s="19" t="s">
        <v>3</v>
      </c>
      <c r="C12" s="19" t="s">
        <v>4</v>
      </c>
      <c r="D12" s="19" t="s">
        <v>5</v>
      </c>
      <c r="E12" s="19" t="s">
        <v>96</v>
      </c>
      <c r="F12" s="19" t="s">
        <v>7</v>
      </c>
      <c r="G12" s="19" t="s">
        <v>97</v>
      </c>
      <c r="H12" s="19" t="s">
        <v>98</v>
      </c>
    </row>
    <row r="13" spans="1:8" ht="23" customHeight="1" x14ac:dyDescent="0.2">
      <c r="A13" s="2">
        <v>0</v>
      </c>
      <c r="B13" s="5">
        <f t="shared" ref="B13:B44" si="0">IF(A13&gt;$B$7,"",IF(A13&lt;=$B$6,10,2*A13-85))</f>
        <v>10</v>
      </c>
      <c r="C13" s="5">
        <f t="shared" ref="C13:C44" si="1">IF(A13&gt;$B$7,"",IF(A13&lt;=$B$5,10,IF(A13&lt;=$B$6,A13-20,75-A13)))</f>
        <v>10</v>
      </c>
      <c r="D13" s="5">
        <f t="shared" ref="D13:D44" si="2">IF(A13&gt;$B$7,"",10)</f>
        <v>10</v>
      </c>
      <c r="E13" s="6">
        <f>IF(A13&gt;$B$7,"",SUMPRODUCT(B13:D13,'P1 Lunch'!$B$5:$D$5))</f>
        <v>80</v>
      </c>
      <c r="F13" s="5">
        <f>IF(A13&gt;$B$7,"",SUMPRODUCT(B13:D13,'P1 Lunch'!$B$6:$D$6))</f>
        <v>70</v>
      </c>
      <c r="G13" s="5">
        <f>IF(A13&gt;$B$7,"",SUMPRODUCT(B13:D13,'P1 Lunch'!$B$7:$D$7))</f>
        <v>4.5</v>
      </c>
      <c r="H13" s="5" t="str">
        <f t="shared" ref="H13:H44" si="3">IF(A13&gt;$B$7,"Infeasible","Feasible")</f>
        <v>Feasible</v>
      </c>
    </row>
    <row r="14" spans="1:8" ht="23" customHeight="1" x14ac:dyDescent="0.2">
      <c r="A14" s="2">
        <v>0.5</v>
      </c>
      <c r="B14" s="5">
        <f t="shared" si="0"/>
        <v>10</v>
      </c>
      <c r="C14" s="5">
        <f t="shared" si="1"/>
        <v>10</v>
      </c>
      <c r="D14" s="5">
        <f t="shared" si="2"/>
        <v>10</v>
      </c>
      <c r="E14" s="6">
        <f>IF(A14&gt;$B$7,"",SUMPRODUCT(B14:D14,'P1 Lunch'!$B$5:$D$5))</f>
        <v>80</v>
      </c>
      <c r="F14" s="5">
        <f>IF(A14&gt;$B$7,"",SUMPRODUCT(B14:D14,'P1 Lunch'!$B$6:$D$6))</f>
        <v>70</v>
      </c>
      <c r="G14" s="5">
        <f>IF(A14&gt;$B$7,"",SUMPRODUCT(B14:D14,'P1 Lunch'!$B$7:$D$7))</f>
        <v>4.5</v>
      </c>
      <c r="H14" s="5" t="str">
        <f t="shared" si="3"/>
        <v>Feasible</v>
      </c>
    </row>
    <row r="15" spans="1:8" ht="23" customHeight="1" x14ac:dyDescent="0.2">
      <c r="A15" s="2">
        <v>1</v>
      </c>
      <c r="B15" s="5">
        <f t="shared" si="0"/>
        <v>10</v>
      </c>
      <c r="C15" s="5">
        <f t="shared" si="1"/>
        <v>10</v>
      </c>
      <c r="D15" s="5">
        <f t="shared" si="2"/>
        <v>10</v>
      </c>
      <c r="E15" s="6">
        <f>IF(A15&gt;$B$7,"",SUMPRODUCT(B15:D15,'P1 Lunch'!$B$5:$D$5))</f>
        <v>80</v>
      </c>
      <c r="F15" s="5">
        <f>IF(A15&gt;$B$7,"",SUMPRODUCT(B15:D15,'P1 Lunch'!$B$6:$D$6))</f>
        <v>70</v>
      </c>
      <c r="G15" s="5">
        <f>IF(A15&gt;$B$7,"",SUMPRODUCT(B15:D15,'P1 Lunch'!$B$7:$D$7))</f>
        <v>4.5</v>
      </c>
      <c r="H15" s="5" t="str">
        <f t="shared" si="3"/>
        <v>Feasible</v>
      </c>
    </row>
    <row r="16" spans="1:8" ht="23" customHeight="1" x14ac:dyDescent="0.2">
      <c r="A16" s="2">
        <v>1.5</v>
      </c>
      <c r="B16" s="5">
        <f t="shared" si="0"/>
        <v>10</v>
      </c>
      <c r="C16" s="5">
        <f t="shared" si="1"/>
        <v>10</v>
      </c>
      <c r="D16" s="5">
        <f t="shared" si="2"/>
        <v>10</v>
      </c>
      <c r="E16" s="6">
        <f>IF(A16&gt;$B$7,"",SUMPRODUCT(B16:D16,'P1 Lunch'!$B$5:$D$5))</f>
        <v>80</v>
      </c>
      <c r="F16" s="5">
        <f>IF(A16&gt;$B$7,"",SUMPRODUCT(B16:D16,'P1 Lunch'!$B$6:$D$6))</f>
        <v>70</v>
      </c>
      <c r="G16" s="5">
        <f>IF(A16&gt;$B$7,"",SUMPRODUCT(B16:D16,'P1 Lunch'!$B$7:$D$7))</f>
        <v>4.5</v>
      </c>
      <c r="H16" s="5" t="str">
        <f t="shared" si="3"/>
        <v>Feasible</v>
      </c>
    </row>
    <row r="17" spans="1:8" ht="23" customHeight="1" x14ac:dyDescent="0.2">
      <c r="A17" s="2">
        <v>2</v>
      </c>
      <c r="B17" s="5">
        <f t="shared" si="0"/>
        <v>10</v>
      </c>
      <c r="C17" s="5">
        <f t="shared" si="1"/>
        <v>10</v>
      </c>
      <c r="D17" s="5">
        <f t="shared" si="2"/>
        <v>10</v>
      </c>
      <c r="E17" s="6">
        <f>IF(A17&gt;$B$7,"",SUMPRODUCT(B17:D17,'P1 Lunch'!$B$5:$D$5))</f>
        <v>80</v>
      </c>
      <c r="F17" s="5">
        <f>IF(A17&gt;$B$7,"",SUMPRODUCT(B17:D17,'P1 Lunch'!$B$6:$D$6))</f>
        <v>70</v>
      </c>
      <c r="G17" s="5">
        <f>IF(A17&gt;$B$7,"",SUMPRODUCT(B17:D17,'P1 Lunch'!$B$7:$D$7))</f>
        <v>4.5</v>
      </c>
      <c r="H17" s="5" t="str">
        <f t="shared" si="3"/>
        <v>Feasible</v>
      </c>
    </row>
    <row r="18" spans="1:8" ht="23" customHeight="1" x14ac:dyDescent="0.2">
      <c r="A18" s="2">
        <v>2.5</v>
      </c>
      <c r="B18" s="5">
        <f t="shared" si="0"/>
        <v>10</v>
      </c>
      <c r="C18" s="5">
        <f t="shared" si="1"/>
        <v>10</v>
      </c>
      <c r="D18" s="5">
        <f t="shared" si="2"/>
        <v>10</v>
      </c>
      <c r="E18" s="6">
        <f>IF(A18&gt;$B$7,"",SUMPRODUCT(B18:D18,'P1 Lunch'!$B$5:$D$5))</f>
        <v>80</v>
      </c>
      <c r="F18" s="5">
        <f>IF(A18&gt;$B$7,"",SUMPRODUCT(B18:D18,'P1 Lunch'!$B$6:$D$6))</f>
        <v>70</v>
      </c>
      <c r="G18" s="5">
        <f>IF(A18&gt;$B$7,"",SUMPRODUCT(B18:D18,'P1 Lunch'!$B$7:$D$7))</f>
        <v>4.5</v>
      </c>
      <c r="H18" s="5" t="str">
        <f t="shared" si="3"/>
        <v>Feasible</v>
      </c>
    </row>
    <row r="19" spans="1:8" ht="23" customHeight="1" x14ac:dyDescent="0.2">
      <c r="A19" s="2">
        <v>3</v>
      </c>
      <c r="B19" s="5">
        <f t="shared" si="0"/>
        <v>10</v>
      </c>
      <c r="C19" s="5">
        <f t="shared" si="1"/>
        <v>10</v>
      </c>
      <c r="D19" s="5">
        <f t="shared" si="2"/>
        <v>10</v>
      </c>
      <c r="E19" s="6">
        <f>IF(A19&gt;$B$7,"",SUMPRODUCT(B19:D19,'P1 Lunch'!$B$5:$D$5))</f>
        <v>80</v>
      </c>
      <c r="F19" s="5">
        <f>IF(A19&gt;$B$7,"",SUMPRODUCT(B19:D19,'P1 Lunch'!$B$6:$D$6))</f>
        <v>70</v>
      </c>
      <c r="G19" s="5">
        <f>IF(A19&gt;$B$7,"",SUMPRODUCT(B19:D19,'P1 Lunch'!$B$7:$D$7))</f>
        <v>4.5</v>
      </c>
      <c r="H19" s="5" t="str">
        <f t="shared" si="3"/>
        <v>Feasible</v>
      </c>
    </row>
    <row r="20" spans="1:8" ht="23" customHeight="1" x14ac:dyDescent="0.2">
      <c r="A20" s="2">
        <v>3.5</v>
      </c>
      <c r="B20" s="5">
        <f t="shared" si="0"/>
        <v>10</v>
      </c>
      <c r="C20" s="5">
        <f t="shared" si="1"/>
        <v>10</v>
      </c>
      <c r="D20" s="5">
        <f t="shared" si="2"/>
        <v>10</v>
      </c>
      <c r="E20" s="6">
        <f>IF(A20&gt;$B$7,"",SUMPRODUCT(B20:D20,'P1 Lunch'!$B$5:$D$5))</f>
        <v>80</v>
      </c>
      <c r="F20" s="5">
        <f>IF(A20&gt;$B$7,"",SUMPRODUCT(B20:D20,'P1 Lunch'!$B$6:$D$6))</f>
        <v>70</v>
      </c>
      <c r="G20" s="5">
        <f>IF(A20&gt;$B$7,"",SUMPRODUCT(B20:D20,'P1 Lunch'!$B$7:$D$7))</f>
        <v>4.5</v>
      </c>
      <c r="H20" s="5" t="str">
        <f t="shared" si="3"/>
        <v>Feasible</v>
      </c>
    </row>
    <row r="21" spans="1:8" ht="23" customHeight="1" x14ac:dyDescent="0.2">
      <c r="A21" s="2">
        <v>4</v>
      </c>
      <c r="B21" s="5">
        <f t="shared" si="0"/>
        <v>10</v>
      </c>
      <c r="C21" s="5">
        <f t="shared" si="1"/>
        <v>10</v>
      </c>
      <c r="D21" s="5">
        <f t="shared" si="2"/>
        <v>10</v>
      </c>
      <c r="E21" s="6">
        <f>IF(A21&gt;$B$7,"",SUMPRODUCT(B21:D21,'P1 Lunch'!$B$5:$D$5))</f>
        <v>80</v>
      </c>
      <c r="F21" s="5">
        <f>IF(A21&gt;$B$7,"",SUMPRODUCT(B21:D21,'P1 Lunch'!$B$6:$D$6))</f>
        <v>70</v>
      </c>
      <c r="G21" s="5">
        <f>IF(A21&gt;$B$7,"",SUMPRODUCT(B21:D21,'P1 Lunch'!$B$7:$D$7))</f>
        <v>4.5</v>
      </c>
      <c r="H21" s="5" t="str">
        <f t="shared" si="3"/>
        <v>Feasible</v>
      </c>
    </row>
    <row r="22" spans="1:8" ht="23" customHeight="1" x14ac:dyDescent="0.2">
      <c r="A22" s="2">
        <v>4.5</v>
      </c>
      <c r="B22" s="5">
        <f t="shared" si="0"/>
        <v>10</v>
      </c>
      <c r="C22" s="5">
        <f t="shared" si="1"/>
        <v>10</v>
      </c>
      <c r="D22" s="5">
        <f t="shared" si="2"/>
        <v>10</v>
      </c>
      <c r="E22" s="6">
        <f>IF(A22&gt;$B$7,"",SUMPRODUCT(B22:D22,'P1 Lunch'!$B$5:$D$5))</f>
        <v>80</v>
      </c>
      <c r="F22" s="5">
        <f>IF(A22&gt;$B$7,"",SUMPRODUCT(B22:D22,'P1 Lunch'!$B$6:$D$6))</f>
        <v>70</v>
      </c>
      <c r="G22" s="5">
        <f>IF(A22&gt;$B$7,"",SUMPRODUCT(B22:D22,'P1 Lunch'!$B$7:$D$7))</f>
        <v>4.5</v>
      </c>
      <c r="H22" s="5" t="str">
        <f t="shared" si="3"/>
        <v>Feasible</v>
      </c>
    </row>
    <row r="23" spans="1:8" ht="23" customHeight="1" x14ac:dyDescent="0.2">
      <c r="A23" s="2">
        <v>5</v>
      </c>
      <c r="B23" s="5">
        <f t="shared" si="0"/>
        <v>10</v>
      </c>
      <c r="C23" s="5">
        <f t="shared" si="1"/>
        <v>10</v>
      </c>
      <c r="D23" s="5">
        <f t="shared" si="2"/>
        <v>10</v>
      </c>
      <c r="E23" s="6">
        <f>IF(A23&gt;$B$7,"",SUMPRODUCT(B23:D23,'P1 Lunch'!$B$5:$D$5))</f>
        <v>80</v>
      </c>
      <c r="F23" s="5">
        <f>IF(A23&gt;$B$7,"",SUMPRODUCT(B23:D23,'P1 Lunch'!$B$6:$D$6))</f>
        <v>70</v>
      </c>
      <c r="G23" s="5">
        <f>IF(A23&gt;$B$7,"",SUMPRODUCT(B23:D23,'P1 Lunch'!$B$7:$D$7))</f>
        <v>4.5</v>
      </c>
      <c r="H23" s="5" t="str">
        <f t="shared" si="3"/>
        <v>Feasible</v>
      </c>
    </row>
    <row r="24" spans="1:8" ht="23" customHeight="1" x14ac:dyDescent="0.2">
      <c r="A24" s="2">
        <v>5.5</v>
      </c>
      <c r="B24" s="5">
        <f t="shared" si="0"/>
        <v>10</v>
      </c>
      <c r="C24" s="5">
        <f t="shared" si="1"/>
        <v>10</v>
      </c>
      <c r="D24" s="5">
        <f t="shared" si="2"/>
        <v>10</v>
      </c>
      <c r="E24" s="6">
        <f>IF(A24&gt;$B$7,"",SUMPRODUCT(B24:D24,'P1 Lunch'!$B$5:$D$5))</f>
        <v>80</v>
      </c>
      <c r="F24" s="5">
        <f>IF(A24&gt;$B$7,"",SUMPRODUCT(B24:D24,'P1 Lunch'!$B$6:$D$6))</f>
        <v>70</v>
      </c>
      <c r="G24" s="5">
        <f>IF(A24&gt;$B$7,"",SUMPRODUCT(B24:D24,'P1 Lunch'!$B$7:$D$7))</f>
        <v>4.5</v>
      </c>
      <c r="H24" s="5" t="str">
        <f t="shared" si="3"/>
        <v>Feasible</v>
      </c>
    </row>
    <row r="25" spans="1:8" ht="23" customHeight="1" x14ac:dyDescent="0.2">
      <c r="A25" s="2">
        <v>6</v>
      </c>
      <c r="B25" s="5">
        <f t="shared" si="0"/>
        <v>10</v>
      </c>
      <c r="C25" s="5">
        <f t="shared" si="1"/>
        <v>10</v>
      </c>
      <c r="D25" s="5">
        <f t="shared" si="2"/>
        <v>10</v>
      </c>
      <c r="E25" s="6">
        <f>IF(A25&gt;$B$7,"",SUMPRODUCT(B25:D25,'P1 Lunch'!$B$5:$D$5))</f>
        <v>80</v>
      </c>
      <c r="F25" s="5">
        <f>IF(A25&gt;$B$7,"",SUMPRODUCT(B25:D25,'P1 Lunch'!$B$6:$D$6))</f>
        <v>70</v>
      </c>
      <c r="G25" s="5">
        <f>IF(A25&gt;$B$7,"",SUMPRODUCT(B25:D25,'P1 Lunch'!$B$7:$D$7))</f>
        <v>4.5</v>
      </c>
      <c r="H25" s="5" t="str">
        <f t="shared" si="3"/>
        <v>Feasible</v>
      </c>
    </row>
    <row r="26" spans="1:8" ht="23" customHeight="1" x14ac:dyDescent="0.2">
      <c r="A26" s="2">
        <v>6.5</v>
      </c>
      <c r="B26" s="5">
        <f t="shared" si="0"/>
        <v>10</v>
      </c>
      <c r="C26" s="5">
        <f t="shared" si="1"/>
        <v>10</v>
      </c>
      <c r="D26" s="5">
        <f t="shared" si="2"/>
        <v>10</v>
      </c>
      <c r="E26" s="6">
        <f>IF(A26&gt;$B$7,"",SUMPRODUCT(B26:D26,'P1 Lunch'!$B$5:$D$5))</f>
        <v>80</v>
      </c>
      <c r="F26" s="5">
        <f>IF(A26&gt;$B$7,"",SUMPRODUCT(B26:D26,'P1 Lunch'!$B$6:$D$6))</f>
        <v>70</v>
      </c>
      <c r="G26" s="5">
        <f>IF(A26&gt;$B$7,"",SUMPRODUCT(B26:D26,'P1 Lunch'!$B$7:$D$7))</f>
        <v>4.5</v>
      </c>
      <c r="H26" s="5" t="str">
        <f t="shared" si="3"/>
        <v>Feasible</v>
      </c>
    </row>
    <row r="27" spans="1:8" ht="23" customHeight="1" x14ac:dyDescent="0.2">
      <c r="A27" s="2">
        <v>7</v>
      </c>
      <c r="B27" s="5">
        <f t="shared" si="0"/>
        <v>10</v>
      </c>
      <c r="C27" s="5">
        <f t="shared" si="1"/>
        <v>10</v>
      </c>
      <c r="D27" s="5">
        <f t="shared" si="2"/>
        <v>10</v>
      </c>
      <c r="E27" s="6">
        <f>IF(A27&gt;$B$7,"",SUMPRODUCT(B27:D27,'P1 Lunch'!$B$5:$D$5))</f>
        <v>80</v>
      </c>
      <c r="F27" s="5">
        <f>IF(A27&gt;$B$7,"",SUMPRODUCT(B27:D27,'P1 Lunch'!$B$6:$D$6))</f>
        <v>70</v>
      </c>
      <c r="G27" s="5">
        <f>IF(A27&gt;$B$7,"",SUMPRODUCT(B27:D27,'P1 Lunch'!$B$7:$D$7))</f>
        <v>4.5</v>
      </c>
      <c r="H27" s="5" t="str">
        <f t="shared" si="3"/>
        <v>Feasible</v>
      </c>
    </row>
    <row r="28" spans="1:8" ht="23" customHeight="1" x14ac:dyDescent="0.2">
      <c r="A28" s="2">
        <v>7.5</v>
      </c>
      <c r="B28" s="5">
        <f t="shared" si="0"/>
        <v>10</v>
      </c>
      <c r="C28" s="5">
        <f t="shared" si="1"/>
        <v>10</v>
      </c>
      <c r="D28" s="5">
        <f t="shared" si="2"/>
        <v>10</v>
      </c>
      <c r="E28" s="6">
        <f>IF(A28&gt;$B$7,"",SUMPRODUCT(B28:D28,'P1 Lunch'!$B$5:$D$5))</f>
        <v>80</v>
      </c>
      <c r="F28" s="5">
        <f>IF(A28&gt;$B$7,"",SUMPRODUCT(B28:D28,'P1 Lunch'!$B$6:$D$6))</f>
        <v>70</v>
      </c>
      <c r="G28" s="5">
        <f>IF(A28&gt;$B$7,"",SUMPRODUCT(B28:D28,'P1 Lunch'!$B$7:$D$7))</f>
        <v>4.5</v>
      </c>
      <c r="H28" s="5" t="str">
        <f t="shared" si="3"/>
        <v>Feasible</v>
      </c>
    </row>
    <row r="29" spans="1:8" ht="23" customHeight="1" x14ac:dyDescent="0.2">
      <c r="A29" s="2">
        <v>8</v>
      </c>
      <c r="B29" s="5">
        <f t="shared" si="0"/>
        <v>10</v>
      </c>
      <c r="C29" s="5">
        <f t="shared" si="1"/>
        <v>10</v>
      </c>
      <c r="D29" s="5">
        <f t="shared" si="2"/>
        <v>10</v>
      </c>
      <c r="E29" s="6">
        <f>IF(A29&gt;$B$7,"",SUMPRODUCT(B29:D29,'P1 Lunch'!$B$5:$D$5))</f>
        <v>80</v>
      </c>
      <c r="F29" s="5">
        <f>IF(A29&gt;$B$7,"",SUMPRODUCT(B29:D29,'P1 Lunch'!$B$6:$D$6))</f>
        <v>70</v>
      </c>
      <c r="G29" s="5">
        <f>IF(A29&gt;$B$7,"",SUMPRODUCT(B29:D29,'P1 Lunch'!$B$7:$D$7))</f>
        <v>4.5</v>
      </c>
      <c r="H29" s="5" t="str">
        <f t="shared" si="3"/>
        <v>Feasible</v>
      </c>
    </row>
    <row r="30" spans="1:8" ht="23" customHeight="1" x14ac:dyDescent="0.2">
      <c r="A30" s="2">
        <v>8.5</v>
      </c>
      <c r="B30" s="5">
        <f t="shared" si="0"/>
        <v>10</v>
      </c>
      <c r="C30" s="5">
        <f t="shared" si="1"/>
        <v>10</v>
      </c>
      <c r="D30" s="5">
        <f t="shared" si="2"/>
        <v>10</v>
      </c>
      <c r="E30" s="6">
        <f>IF(A30&gt;$B$7,"",SUMPRODUCT(B30:D30,'P1 Lunch'!$B$5:$D$5))</f>
        <v>80</v>
      </c>
      <c r="F30" s="5">
        <f>IF(A30&gt;$B$7,"",SUMPRODUCT(B30:D30,'P1 Lunch'!$B$6:$D$6))</f>
        <v>70</v>
      </c>
      <c r="G30" s="5">
        <f>IF(A30&gt;$B$7,"",SUMPRODUCT(B30:D30,'P1 Lunch'!$B$7:$D$7))</f>
        <v>4.5</v>
      </c>
      <c r="H30" s="5" t="str">
        <f t="shared" si="3"/>
        <v>Feasible</v>
      </c>
    </row>
    <row r="31" spans="1:8" ht="23" customHeight="1" x14ac:dyDescent="0.2">
      <c r="A31" s="2">
        <v>9</v>
      </c>
      <c r="B31" s="5">
        <f t="shared" si="0"/>
        <v>10</v>
      </c>
      <c r="C31" s="5">
        <f t="shared" si="1"/>
        <v>10</v>
      </c>
      <c r="D31" s="5">
        <f t="shared" si="2"/>
        <v>10</v>
      </c>
      <c r="E31" s="6">
        <f>IF(A31&gt;$B$7,"",SUMPRODUCT(B31:D31,'P1 Lunch'!$B$5:$D$5))</f>
        <v>80</v>
      </c>
      <c r="F31" s="5">
        <f>IF(A31&gt;$B$7,"",SUMPRODUCT(B31:D31,'P1 Lunch'!$B$6:$D$6))</f>
        <v>70</v>
      </c>
      <c r="G31" s="5">
        <f>IF(A31&gt;$B$7,"",SUMPRODUCT(B31:D31,'P1 Lunch'!$B$7:$D$7))</f>
        <v>4.5</v>
      </c>
      <c r="H31" s="5" t="str">
        <f t="shared" si="3"/>
        <v>Feasible</v>
      </c>
    </row>
    <row r="32" spans="1:8" ht="23" customHeight="1" x14ac:dyDescent="0.2">
      <c r="A32" s="2">
        <v>9.5</v>
      </c>
      <c r="B32" s="5">
        <f t="shared" si="0"/>
        <v>10</v>
      </c>
      <c r="C32" s="5">
        <f t="shared" si="1"/>
        <v>10</v>
      </c>
      <c r="D32" s="5">
        <f t="shared" si="2"/>
        <v>10</v>
      </c>
      <c r="E32" s="6">
        <f>IF(A32&gt;$B$7,"",SUMPRODUCT(B32:D32,'P1 Lunch'!$B$5:$D$5))</f>
        <v>80</v>
      </c>
      <c r="F32" s="5">
        <f>IF(A32&gt;$B$7,"",SUMPRODUCT(B32:D32,'P1 Lunch'!$B$6:$D$6))</f>
        <v>70</v>
      </c>
      <c r="G32" s="5">
        <f>IF(A32&gt;$B$7,"",SUMPRODUCT(B32:D32,'P1 Lunch'!$B$7:$D$7))</f>
        <v>4.5</v>
      </c>
      <c r="H32" s="5" t="str">
        <f t="shared" si="3"/>
        <v>Feasible</v>
      </c>
    </row>
    <row r="33" spans="1:8" ht="23" customHeight="1" x14ac:dyDescent="0.2">
      <c r="A33" s="2">
        <v>10</v>
      </c>
      <c r="B33" s="5">
        <f t="shared" si="0"/>
        <v>10</v>
      </c>
      <c r="C33" s="5">
        <f t="shared" si="1"/>
        <v>10</v>
      </c>
      <c r="D33" s="5">
        <f t="shared" si="2"/>
        <v>10</v>
      </c>
      <c r="E33" s="6">
        <f>IF(A33&gt;$B$7,"",SUMPRODUCT(B33:D33,'P1 Lunch'!$B$5:$D$5))</f>
        <v>80</v>
      </c>
      <c r="F33" s="5">
        <f>IF(A33&gt;$B$7,"",SUMPRODUCT(B33:D33,'P1 Lunch'!$B$6:$D$6))</f>
        <v>70</v>
      </c>
      <c r="G33" s="5">
        <f>IF(A33&gt;$B$7,"",SUMPRODUCT(B33:D33,'P1 Lunch'!$B$7:$D$7))</f>
        <v>4.5</v>
      </c>
      <c r="H33" s="5" t="str">
        <f t="shared" si="3"/>
        <v>Feasible</v>
      </c>
    </row>
    <row r="34" spans="1:8" ht="23" customHeight="1" x14ac:dyDescent="0.2">
      <c r="A34" s="2">
        <v>10.5</v>
      </c>
      <c r="B34" s="5">
        <f t="shared" si="0"/>
        <v>10</v>
      </c>
      <c r="C34" s="5">
        <f t="shared" si="1"/>
        <v>10</v>
      </c>
      <c r="D34" s="5">
        <f t="shared" si="2"/>
        <v>10</v>
      </c>
      <c r="E34" s="6">
        <f>IF(A34&gt;$B$7,"",SUMPRODUCT(B34:D34,'P1 Lunch'!$B$5:$D$5))</f>
        <v>80</v>
      </c>
      <c r="F34" s="5">
        <f>IF(A34&gt;$B$7,"",SUMPRODUCT(B34:D34,'P1 Lunch'!$B$6:$D$6))</f>
        <v>70</v>
      </c>
      <c r="G34" s="5">
        <f>IF(A34&gt;$B$7,"",SUMPRODUCT(B34:D34,'P1 Lunch'!$B$7:$D$7))</f>
        <v>4.5</v>
      </c>
      <c r="H34" s="5" t="str">
        <f t="shared" si="3"/>
        <v>Feasible</v>
      </c>
    </row>
    <row r="35" spans="1:8" ht="23" customHeight="1" x14ac:dyDescent="0.2">
      <c r="A35" s="2">
        <v>11</v>
      </c>
      <c r="B35" s="5">
        <f t="shared" si="0"/>
        <v>10</v>
      </c>
      <c r="C35" s="5">
        <f t="shared" si="1"/>
        <v>10</v>
      </c>
      <c r="D35" s="5">
        <f t="shared" si="2"/>
        <v>10</v>
      </c>
      <c r="E35" s="6">
        <f>IF(A35&gt;$B$7,"",SUMPRODUCT(B35:D35,'P1 Lunch'!$B$5:$D$5))</f>
        <v>80</v>
      </c>
      <c r="F35" s="5">
        <f>IF(A35&gt;$B$7,"",SUMPRODUCT(B35:D35,'P1 Lunch'!$B$6:$D$6))</f>
        <v>70</v>
      </c>
      <c r="G35" s="5">
        <f>IF(A35&gt;$B$7,"",SUMPRODUCT(B35:D35,'P1 Lunch'!$B$7:$D$7))</f>
        <v>4.5</v>
      </c>
      <c r="H35" s="5" t="str">
        <f t="shared" si="3"/>
        <v>Feasible</v>
      </c>
    </row>
    <row r="36" spans="1:8" ht="23" customHeight="1" x14ac:dyDescent="0.2">
      <c r="A36" s="2">
        <v>11.5</v>
      </c>
      <c r="B36" s="5">
        <f t="shared" si="0"/>
        <v>10</v>
      </c>
      <c r="C36" s="5">
        <f t="shared" si="1"/>
        <v>10</v>
      </c>
      <c r="D36" s="5">
        <f t="shared" si="2"/>
        <v>10</v>
      </c>
      <c r="E36" s="6">
        <f>IF(A36&gt;$B$7,"",SUMPRODUCT(B36:D36,'P1 Lunch'!$B$5:$D$5))</f>
        <v>80</v>
      </c>
      <c r="F36" s="5">
        <f>IF(A36&gt;$B$7,"",SUMPRODUCT(B36:D36,'P1 Lunch'!$B$6:$D$6))</f>
        <v>70</v>
      </c>
      <c r="G36" s="5">
        <f>IF(A36&gt;$B$7,"",SUMPRODUCT(B36:D36,'P1 Lunch'!$B$7:$D$7))</f>
        <v>4.5</v>
      </c>
      <c r="H36" s="5" t="str">
        <f t="shared" si="3"/>
        <v>Feasible</v>
      </c>
    </row>
    <row r="37" spans="1:8" ht="23" customHeight="1" x14ac:dyDescent="0.2">
      <c r="A37" s="2">
        <v>12</v>
      </c>
      <c r="B37" s="5">
        <f t="shared" si="0"/>
        <v>10</v>
      </c>
      <c r="C37" s="5">
        <f t="shared" si="1"/>
        <v>10</v>
      </c>
      <c r="D37" s="5">
        <f t="shared" si="2"/>
        <v>10</v>
      </c>
      <c r="E37" s="6">
        <f>IF(A37&gt;$B$7,"",SUMPRODUCT(B37:D37,'P1 Lunch'!$B$5:$D$5))</f>
        <v>80</v>
      </c>
      <c r="F37" s="5">
        <f>IF(A37&gt;$B$7,"",SUMPRODUCT(B37:D37,'P1 Lunch'!$B$6:$D$6))</f>
        <v>70</v>
      </c>
      <c r="G37" s="5">
        <f>IF(A37&gt;$B$7,"",SUMPRODUCT(B37:D37,'P1 Lunch'!$B$7:$D$7))</f>
        <v>4.5</v>
      </c>
      <c r="H37" s="5" t="str">
        <f t="shared" si="3"/>
        <v>Feasible</v>
      </c>
    </row>
    <row r="38" spans="1:8" ht="23" customHeight="1" x14ac:dyDescent="0.2">
      <c r="A38" s="2">
        <v>12.5</v>
      </c>
      <c r="B38" s="5">
        <f t="shared" si="0"/>
        <v>10</v>
      </c>
      <c r="C38" s="5">
        <f t="shared" si="1"/>
        <v>10</v>
      </c>
      <c r="D38" s="5">
        <f t="shared" si="2"/>
        <v>10</v>
      </c>
      <c r="E38" s="6">
        <f>IF(A38&gt;$B$7,"",SUMPRODUCT(B38:D38,'P1 Lunch'!$B$5:$D$5))</f>
        <v>80</v>
      </c>
      <c r="F38" s="5">
        <f>IF(A38&gt;$B$7,"",SUMPRODUCT(B38:D38,'P1 Lunch'!$B$6:$D$6))</f>
        <v>70</v>
      </c>
      <c r="G38" s="5">
        <f>IF(A38&gt;$B$7,"",SUMPRODUCT(B38:D38,'P1 Lunch'!$B$7:$D$7))</f>
        <v>4.5</v>
      </c>
      <c r="H38" s="5" t="str">
        <f t="shared" si="3"/>
        <v>Feasible</v>
      </c>
    </row>
    <row r="39" spans="1:8" ht="23" customHeight="1" x14ac:dyDescent="0.2">
      <c r="A39" s="2">
        <v>13</v>
      </c>
      <c r="B39" s="5">
        <f t="shared" si="0"/>
        <v>10</v>
      </c>
      <c r="C39" s="5">
        <f t="shared" si="1"/>
        <v>10</v>
      </c>
      <c r="D39" s="5">
        <f t="shared" si="2"/>
        <v>10</v>
      </c>
      <c r="E39" s="6">
        <f>IF(A39&gt;$B$7,"",SUMPRODUCT(B39:D39,'P1 Lunch'!$B$5:$D$5))</f>
        <v>80</v>
      </c>
      <c r="F39" s="5">
        <f>IF(A39&gt;$B$7,"",SUMPRODUCT(B39:D39,'P1 Lunch'!$B$6:$D$6))</f>
        <v>70</v>
      </c>
      <c r="G39" s="5">
        <f>IF(A39&gt;$B$7,"",SUMPRODUCT(B39:D39,'P1 Lunch'!$B$7:$D$7))</f>
        <v>4.5</v>
      </c>
      <c r="H39" s="5" t="str">
        <f t="shared" si="3"/>
        <v>Feasible</v>
      </c>
    </row>
    <row r="40" spans="1:8" ht="23" customHeight="1" x14ac:dyDescent="0.2">
      <c r="A40" s="2">
        <v>13.5</v>
      </c>
      <c r="B40" s="5">
        <f t="shared" si="0"/>
        <v>10</v>
      </c>
      <c r="C40" s="5">
        <f t="shared" si="1"/>
        <v>10</v>
      </c>
      <c r="D40" s="5">
        <f t="shared" si="2"/>
        <v>10</v>
      </c>
      <c r="E40" s="6">
        <f>IF(A40&gt;$B$7,"",SUMPRODUCT(B40:D40,'P1 Lunch'!$B$5:$D$5))</f>
        <v>80</v>
      </c>
      <c r="F40" s="5">
        <f>IF(A40&gt;$B$7,"",SUMPRODUCT(B40:D40,'P1 Lunch'!$B$6:$D$6))</f>
        <v>70</v>
      </c>
      <c r="G40" s="5">
        <f>IF(A40&gt;$B$7,"",SUMPRODUCT(B40:D40,'P1 Lunch'!$B$7:$D$7))</f>
        <v>4.5</v>
      </c>
      <c r="H40" s="5" t="str">
        <f t="shared" si="3"/>
        <v>Feasible</v>
      </c>
    </row>
    <row r="41" spans="1:8" ht="23" customHeight="1" x14ac:dyDescent="0.2">
      <c r="A41" s="2">
        <v>14</v>
      </c>
      <c r="B41" s="5">
        <f t="shared" si="0"/>
        <v>10</v>
      </c>
      <c r="C41" s="5">
        <f t="shared" si="1"/>
        <v>10</v>
      </c>
      <c r="D41" s="5">
        <f t="shared" si="2"/>
        <v>10</v>
      </c>
      <c r="E41" s="6">
        <f>IF(A41&gt;$B$7,"",SUMPRODUCT(B41:D41,'P1 Lunch'!$B$5:$D$5))</f>
        <v>80</v>
      </c>
      <c r="F41" s="5">
        <f>IF(A41&gt;$B$7,"",SUMPRODUCT(B41:D41,'P1 Lunch'!$B$6:$D$6))</f>
        <v>70</v>
      </c>
      <c r="G41" s="5">
        <f>IF(A41&gt;$B$7,"",SUMPRODUCT(B41:D41,'P1 Lunch'!$B$7:$D$7))</f>
        <v>4.5</v>
      </c>
      <c r="H41" s="5" t="str">
        <f t="shared" si="3"/>
        <v>Feasible</v>
      </c>
    </row>
    <row r="42" spans="1:8" ht="23" customHeight="1" x14ac:dyDescent="0.2">
      <c r="A42" s="2">
        <v>14.5</v>
      </c>
      <c r="B42" s="5">
        <f t="shared" si="0"/>
        <v>10</v>
      </c>
      <c r="C42" s="5">
        <f t="shared" si="1"/>
        <v>10</v>
      </c>
      <c r="D42" s="5">
        <f t="shared" si="2"/>
        <v>10</v>
      </c>
      <c r="E42" s="6">
        <f>IF(A42&gt;$B$7,"",SUMPRODUCT(B42:D42,'P1 Lunch'!$B$5:$D$5))</f>
        <v>80</v>
      </c>
      <c r="F42" s="5">
        <f>IF(A42&gt;$B$7,"",SUMPRODUCT(B42:D42,'P1 Lunch'!$B$6:$D$6))</f>
        <v>70</v>
      </c>
      <c r="G42" s="5">
        <f>IF(A42&gt;$B$7,"",SUMPRODUCT(B42:D42,'P1 Lunch'!$B$7:$D$7))</f>
        <v>4.5</v>
      </c>
      <c r="H42" s="5" t="str">
        <f t="shared" si="3"/>
        <v>Feasible</v>
      </c>
    </row>
    <row r="43" spans="1:8" ht="23" customHeight="1" x14ac:dyDescent="0.2">
      <c r="A43" s="2">
        <v>15</v>
      </c>
      <c r="B43" s="5">
        <f t="shared" si="0"/>
        <v>10</v>
      </c>
      <c r="C43" s="5">
        <f t="shared" si="1"/>
        <v>10</v>
      </c>
      <c r="D43" s="5">
        <f t="shared" si="2"/>
        <v>10</v>
      </c>
      <c r="E43" s="6">
        <f>IF(A43&gt;$B$7,"",SUMPRODUCT(B43:D43,'P1 Lunch'!$B$5:$D$5))</f>
        <v>80</v>
      </c>
      <c r="F43" s="5">
        <f>IF(A43&gt;$B$7,"",SUMPRODUCT(B43:D43,'P1 Lunch'!$B$6:$D$6))</f>
        <v>70</v>
      </c>
      <c r="G43" s="5">
        <f>IF(A43&gt;$B$7,"",SUMPRODUCT(B43:D43,'P1 Lunch'!$B$7:$D$7))</f>
        <v>4.5</v>
      </c>
      <c r="H43" s="5" t="str">
        <f t="shared" si="3"/>
        <v>Feasible</v>
      </c>
    </row>
    <row r="44" spans="1:8" ht="23" customHeight="1" x14ac:dyDescent="0.2">
      <c r="A44" s="2">
        <v>15.5</v>
      </c>
      <c r="B44" s="5">
        <f t="shared" si="0"/>
        <v>10</v>
      </c>
      <c r="C44" s="5">
        <f t="shared" si="1"/>
        <v>10</v>
      </c>
      <c r="D44" s="5">
        <f t="shared" si="2"/>
        <v>10</v>
      </c>
      <c r="E44" s="6">
        <f>IF(A44&gt;$B$7,"",SUMPRODUCT(B44:D44,'P1 Lunch'!$B$5:$D$5))</f>
        <v>80</v>
      </c>
      <c r="F44" s="5">
        <f>IF(A44&gt;$B$7,"",SUMPRODUCT(B44:D44,'P1 Lunch'!$B$6:$D$6))</f>
        <v>70</v>
      </c>
      <c r="G44" s="5">
        <f>IF(A44&gt;$B$7,"",SUMPRODUCT(B44:D44,'P1 Lunch'!$B$7:$D$7))</f>
        <v>4.5</v>
      </c>
      <c r="H44" s="5" t="str">
        <f t="shared" si="3"/>
        <v>Feasible</v>
      </c>
    </row>
    <row r="45" spans="1:8" ht="23" customHeight="1" x14ac:dyDescent="0.2">
      <c r="A45" s="2">
        <v>16</v>
      </c>
      <c r="B45" s="5">
        <f t="shared" ref="B45:B76" si="4">IF(A45&gt;$B$7,"",IF(A45&lt;=$B$6,10,2*A45-85))</f>
        <v>10</v>
      </c>
      <c r="C45" s="5">
        <f t="shared" ref="C45:C76" si="5">IF(A45&gt;$B$7,"",IF(A45&lt;=$B$5,10,IF(A45&lt;=$B$6,A45-20,75-A45)))</f>
        <v>10</v>
      </c>
      <c r="D45" s="5">
        <f t="shared" ref="D45:D76" si="6">IF(A45&gt;$B$7,"",10)</f>
        <v>10</v>
      </c>
      <c r="E45" s="6">
        <f>IF(A45&gt;$B$7,"",SUMPRODUCT(B45:D45,'P1 Lunch'!$B$5:$D$5))</f>
        <v>80</v>
      </c>
      <c r="F45" s="5">
        <f>IF(A45&gt;$B$7,"",SUMPRODUCT(B45:D45,'P1 Lunch'!$B$6:$D$6))</f>
        <v>70</v>
      </c>
      <c r="G45" s="5">
        <f>IF(A45&gt;$B$7,"",SUMPRODUCT(B45:D45,'P1 Lunch'!$B$7:$D$7))</f>
        <v>4.5</v>
      </c>
      <c r="H45" s="5" t="str">
        <f t="shared" ref="H45:H76" si="7">IF(A45&gt;$B$7,"Infeasible","Feasible")</f>
        <v>Feasible</v>
      </c>
    </row>
    <row r="46" spans="1:8" ht="23" customHeight="1" x14ac:dyDescent="0.2">
      <c r="A46" s="2">
        <v>16.5</v>
      </c>
      <c r="B46" s="5">
        <f t="shared" si="4"/>
        <v>10</v>
      </c>
      <c r="C46" s="5">
        <f t="shared" si="5"/>
        <v>10</v>
      </c>
      <c r="D46" s="5">
        <f t="shared" si="6"/>
        <v>10</v>
      </c>
      <c r="E46" s="6">
        <f>IF(A46&gt;$B$7,"",SUMPRODUCT(B46:D46,'P1 Lunch'!$B$5:$D$5))</f>
        <v>80</v>
      </c>
      <c r="F46" s="5">
        <f>IF(A46&gt;$B$7,"",SUMPRODUCT(B46:D46,'P1 Lunch'!$B$6:$D$6))</f>
        <v>70</v>
      </c>
      <c r="G46" s="5">
        <f>IF(A46&gt;$B$7,"",SUMPRODUCT(B46:D46,'P1 Lunch'!$B$7:$D$7))</f>
        <v>4.5</v>
      </c>
      <c r="H46" s="5" t="str">
        <f t="shared" si="7"/>
        <v>Feasible</v>
      </c>
    </row>
    <row r="47" spans="1:8" ht="23" customHeight="1" x14ac:dyDescent="0.2">
      <c r="A47" s="2">
        <v>17</v>
      </c>
      <c r="B47" s="5">
        <f t="shared" si="4"/>
        <v>10</v>
      </c>
      <c r="C47" s="5">
        <f t="shared" si="5"/>
        <v>10</v>
      </c>
      <c r="D47" s="5">
        <f t="shared" si="6"/>
        <v>10</v>
      </c>
      <c r="E47" s="6">
        <f>IF(A47&gt;$B$7,"",SUMPRODUCT(B47:D47,'P1 Lunch'!$B$5:$D$5))</f>
        <v>80</v>
      </c>
      <c r="F47" s="5">
        <f>IF(A47&gt;$B$7,"",SUMPRODUCT(B47:D47,'P1 Lunch'!$B$6:$D$6))</f>
        <v>70</v>
      </c>
      <c r="G47" s="5">
        <f>IF(A47&gt;$B$7,"",SUMPRODUCT(B47:D47,'P1 Lunch'!$B$7:$D$7))</f>
        <v>4.5</v>
      </c>
      <c r="H47" s="5" t="str">
        <f t="shared" si="7"/>
        <v>Feasible</v>
      </c>
    </row>
    <row r="48" spans="1:8" ht="23" customHeight="1" x14ac:dyDescent="0.2">
      <c r="A48" s="2">
        <v>17.5</v>
      </c>
      <c r="B48" s="5">
        <f t="shared" si="4"/>
        <v>10</v>
      </c>
      <c r="C48" s="5">
        <f t="shared" si="5"/>
        <v>10</v>
      </c>
      <c r="D48" s="5">
        <f t="shared" si="6"/>
        <v>10</v>
      </c>
      <c r="E48" s="6">
        <f>IF(A48&gt;$B$7,"",SUMPRODUCT(B48:D48,'P1 Lunch'!$B$5:$D$5))</f>
        <v>80</v>
      </c>
      <c r="F48" s="5">
        <f>IF(A48&gt;$B$7,"",SUMPRODUCT(B48:D48,'P1 Lunch'!$B$6:$D$6))</f>
        <v>70</v>
      </c>
      <c r="G48" s="5">
        <f>IF(A48&gt;$B$7,"",SUMPRODUCT(B48:D48,'P1 Lunch'!$B$7:$D$7))</f>
        <v>4.5</v>
      </c>
      <c r="H48" s="5" t="str">
        <f t="shared" si="7"/>
        <v>Feasible</v>
      </c>
    </row>
    <row r="49" spans="1:8" ht="23" customHeight="1" x14ac:dyDescent="0.2">
      <c r="A49" s="2">
        <v>18</v>
      </c>
      <c r="B49" s="5">
        <f t="shared" si="4"/>
        <v>10</v>
      </c>
      <c r="C49" s="5">
        <f t="shared" si="5"/>
        <v>10</v>
      </c>
      <c r="D49" s="5">
        <f t="shared" si="6"/>
        <v>10</v>
      </c>
      <c r="E49" s="6">
        <f>IF(A49&gt;$B$7,"",SUMPRODUCT(B49:D49,'P1 Lunch'!$B$5:$D$5))</f>
        <v>80</v>
      </c>
      <c r="F49" s="5">
        <f>IF(A49&gt;$B$7,"",SUMPRODUCT(B49:D49,'P1 Lunch'!$B$6:$D$6))</f>
        <v>70</v>
      </c>
      <c r="G49" s="5">
        <f>IF(A49&gt;$B$7,"",SUMPRODUCT(B49:D49,'P1 Lunch'!$B$7:$D$7))</f>
        <v>4.5</v>
      </c>
      <c r="H49" s="5" t="str">
        <f t="shared" si="7"/>
        <v>Feasible</v>
      </c>
    </row>
    <row r="50" spans="1:8" ht="23" customHeight="1" x14ac:dyDescent="0.2">
      <c r="A50" s="2">
        <v>18.5</v>
      </c>
      <c r="B50" s="5">
        <f t="shared" si="4"/>
        <v>10</v>
      </c>
      <c r="C50" s="5">
        <f t="shared" si="5"/>
        <v>10</v>
      </c>
      <c r="D50" s="5">
        <f t="shared" si="6"/>
        <v>10</v>
      </c>
      <c r="E50" s="6">
        <f>IF(A50&gt;$B$7,"",SUMPRODUCT(B50:D50,'P1 Lunch'!$B$5:$D$5))</f>
        <v>80</v>
      </c>
      <c r="F50" s="5">
        <f>IF(A50&gt;$B$7,"",SUMPRODUCT(B50:D50,'P1 Lunch'!$B$6:$D$6))</f>
        <v>70</v>
      </c>
      <c r="G50" s="5">
        <f>IF(A50&gt;$B$7,"",SUMPRODUCT(B50:D50,'P1 Lunch'!$B$7:$D$7))</f>
        <v>4.5</v>
      </c>
      <c r="H50" s="5" t="str">
        <f t="shared" si="7"/>
        <v>Feasible</v>
      </c>
    </row>
    <row r="51" spans="1:8" ht="23" customHeight="1" x14ac:dyDescent="0.2">
      <c r="A51" s="2">
        <v>19</v>
      </c>
      <c r="B51" s="5">
        <f t="shared" si="4"/>
        <v>10</v>
      </c>
      <c r="C51" s="5">
        <f t="shared" si="5"/>
        <v>10</v>
      </c>
      <c r="D51" s="5">
        <f t="shared" si="6"/>
        <v>10</v>
      </c>
      <c r="E51" s="6">
        <f>IF(A51&gt;$B$7,"",SUMPRODUCT(B51:D51,'P1 Lunch'!$B$5:$D$5))</f>
        <v>80</v>
      </c>
      <c r="F51" s="5">
        <f>IF(A51&gt;$B$7,"",SUMPRODUCT(B51:D51,'P1 Lunch'!$B$6:$D$6))</f>
        <v>70</v>
      </c>
      <c r="G51" s="5">
        <f>IF(A51&gt;$B$7,"",SUMPRODUCT(B51:D51,'P1 Lunch'!$B$7:$D$7))</f>
        <v>4.5</v>
      </c>
      <c r="H51" s="5" t="str">
        <f t="shared" si="7"/>
        <v>Feasible</v>
      </c>
    </row>
    <row r="52" spans="1:8" ht="23" customHeight="1" x14ac:dyDescent="0.2">
      <c r="A52" s="2">
        <v>19.5</v>
      </c>
      <c r="B52" s="5">
        <f t="shared" si="4"/>
        <v>10</v>
      </c>
      <c r="C52" s="5">
        <f t="shared" si="5"/>
        <v>10</v>
      </c>
      <c r="D52" s="5">
        <f t="shared" si="6"/>
        <v>10</v>
      </c>
      <c r="E52" s="6">
        <f>IF(A52&gt;$B$7,"",SUMPRODUCT(B52:D52,'P1 Lunch'!$B$5:$D$5))</f>
        <v>80</v>
      </c>
      <c r="F52" s="5">
        <f>IF(A52&gt;$B$7,"",SUMPRODUCT(B52:D52,'P1 Lunch'!$B$6:$D$6))</f>
        <v>70</v>
      </c>
      <c r="G52" s="5">
        <f>IF(A52&gt;$B$7,"",SUMPRODUCT(B52:D52,'P1 Lunch'!$B$7:$D$7))</f>
        <v>4.5</v>
      </c>
      <c r="H52" s="5" t="str">
        <f t="shared" si="7"/>
        <v>Feasible</v>
      </c>
    </row>
    <row r="53" spans="1:8" ht="23" customHeight="1" x14ac:dyDescent="0.2">
      <c r="A53" s="2">
        <v>20</v>
      </c>
      <c r="B53" s="5">
        <f t="shared" si="4"/>
        <v>10</v>
      </c>
      <c r="C53" s="5">
        <f t="shared" si="5"/>
        <v>10</v>
      </c>
      <c r="D53" s="5">
        <f t="shared" si="6"/>
        <v>10</v>
      </c>
      <c r="E53" s="6">
        <f>IF(A53&gt;$B$7,"",SUMPRODUCT(B53:D53,'P1 Lunch'!$B$5:$D$5))</f>
        <v>80</v>
      </c>
      <c r="F53" s="5">
        <f>IF(A53&gt;$B$7,"",SUMPRODUCT(B53:D53,'P1 Lunch'!$B$6:$D$6))</f>
        <v>70</v>
      </c>
      <c r="G53" s="5">
        <f>IF(A53&gt;$B$7,"",SUMPRODUCT(B53:D53,'P1 Lunch'!$B$7:$D$7))</f>
        <v>4.5</v>
      </c>
      <c r="H53" s="5" t="str">
        <f t="shared" si="7"/>
        <v>Feasible</v>
      </c>
    </row>
    <row r="54" spans="1:8" ht="23" customHeight="1" x14ac:dyDescent="0.2">
      <c r="A54" s="2">
        <v>20.5</v>
      </c>
      <c r="B54" s="5">
        <f t="shared" si="4"/>
        <v>10</v>
      </c>
      <c r="C54" s="5">
        <f t="shared" si="5"/>
        <v>10</v>
      </c>
      <c r="D54" s="5">
        <f t="shared" si="6"/>
        <v>10</v>
      </c>
      <c r="E54" s="6">
        <f>IF(A54&gt;$B$7,"",SUMPRODUCT(B54:D54,'P1 Lunch'!$B$5:$D$5))</f>
        <v>80</v>
      </c>
      <c r="F54" s="5">
        <f>IF(A54&gt;$B$7,"",SUMPRODUCT(B54:D54,'P1 Lunch'!$B$6:$D$6))</f>
        <v>70</v>
      </c>
      <c r="G54" s="5">
        <f>IF(A54&gt;$B$7,"",SUMPRODUCT(B54:D54,'P1 Lunch'!$B$7:$D$7))</f>
        <v>4.5</v>
      </c>
      <c r="H54" s="5" t="str">
        <f t="shared" si="7"/>
        <v>Feasible</v>
      </c>
    </row>
    <row r="55" spans="1:8" ht="23" customHeight="1" x14ac:dyDescent="0.2">
      <c r="A55" s="2">
        <v>21</v>
      </c>
      <c r="B55" s="5">
        <f t="shared" si="4"/>
        <v>10</v>
      </c>
      <c r="C55" s="5">
        <f t="shared" si="5"/>
        <v>10</v>
      </c>
      <c r="D55" s="5">
        <f t="shared" si="6"/>
        <v>10</v>
      </c>
      <c r="E55" s="6">
        <f>IF(A55&gt;$B$7,"",SUMPRODUCT(B55:D55,'P1 Lunch'!$B$5:$D$5))</f>
        <v>80</v>
      </c>
      <c r="F55" s="5">
        <f>IF(A55&gt;$B$7,"",SUMPRODUCT(B55:D55,'P1 Lunch'!$B$6:$D$6))</f>
        <v>70</v>
      </c>
      <c r="G55" s="5">
        <f>IF(A55&gt;$B$7,"",SUMPRODUCT(B55:D55,'P1 Lunch'!$B$7:$D$7))</f>
        <v>4.5</v>
      </c>
      <c r="H55" s="5" t="str">
        <f t="shared" si="7"/>
        <v>Feasible</v>
      </c>
    </row>
    <row r="56" spans="1:8" ht="23" customHeight="1" x14ac:dyDescent="0.2">
      <c r="A56" s="2">
        <v>21.5</v>
      </c>
      <c r="B56" s="5">
        <f t="shared" si="4"/>
        <v>10</v>
      </c>
      <c r="C56" s="5">
        <f t="shared" si="5"/>
        <v>10</v>
      </c>
      <c r="D56" s="5">
        <f t="shared" si="6"/>
        <v>10</v>
      </c>
      <c r="E56" s="6">
        <f>IF(A56&gt;$B$7,"",SUMPRODUCT(B56:D56,'P1 Lunch'!$B$5:$D$5))</f>
        <v>80</v>
      </c>
      <c r="F56" s="5">
        <f>IF(A56&gt;$B$7,"",SUMPRODUCT(B56:D56,'P1 Lunch'!$B$6:$D$6))</f>
        <v>70</v>
      </c>
      <c r="G56" s="5">
        <f>IF(A56&gt;$B$7,"",SUMPRODUCT(B56:D56,'P1 Lunch'!$B$7:$D$7))</f>
        <v>4.5</v>
      </c>
      <c r="H56" s="5" t="str">
        <f t="shared" si="7"/>
        <v>Feasible</v>
      </c>
    </row>
    <row r="57" spans="1:8" ht="23" customHeight="1" x14ac:dyDescent="0.2">
      <c r="A57" s="2">
        <v>22</v>
      </c>
      <c r="B57" s="5">
        <f t="shared" si="4"/>
        <v>10</v>
      </c>
      <c r="C57" s="5">
        <f t="shared" si="5"/>
        <v>10</v>
      </c>
      <c r="D57" s="5">
        <f t="shared" si="6"/>
        <v>10</v>
      </c>
      <c r="E57" s="6">
        <f>IF(A57&gt;$B$7,"",SUMPRODUCT(B57:D57,'P1 Lunch'!$B$5:$D$5))</f>
        <v>80</v>
      </c>
      <c r="F57" s="5">
        <f>IF(A57&gt;$B$7,"",SUMPRODUCT(B57:D57,'P1 Lunch'!$B$6:$D$6))</f>
        <v>70</v>
      </c>
      <c r="G57" s="5">
        <f>IF(A57&gt;$B$7,"",SUMPRODUCT(B57:D57,'P1 Lunch'!$B$7:$D$7))</f>
        <v>4.5</v>
      </c>
      <c r="H57" s="5" t="str">
        <f t="shared" si="7"/>
        <v>Feasible</v>
      </c>
    </row>
    <row r="58" spans="1:8" ht="23" customHeight="1" x14ac:dyDescent="0.2">
      <c r="A58" s="2">
        <v>22.5</v>
      </c>
      <c r="B58" s="5">
        <f t="shared" si="4"/>
        <v>10</v>
      </c>
      <c r="C58" s="5">
        <f t="shared" si="5"/>
        <v>10</v>
      </c>
      <c r="D58" s="5">
        <f t="shared" si="6"/>
        <v>10</v>
      </c>
      <c r="E58" s="6">
        <f>IF(A58&gt;$B$7,"",SUMPRODUCT(B58:D58,'P1 Lunch'!$B$5:$D$5))</f>
        <v>80</v>
      </c>
      <c r="F58" s="5">
        <f>IF(A58&gt;$B$7,"",SUMPRODUCT(B58:D58,'P1 Lunch'!$B$6:$D$6))</f>
        <v>70</v>
      </c>
      <c r="G58" s="5">
        <f>IF(A58&gt;$B$7,"",SUMPRODUCT(B58:D58,'P1 Lunch'!$B$7:$D$7))</f>
        <v>4.5</v>
      </c>
      <c r="H58" s="5" t="str">
        <f t="shared" si="7"/>
        <v>Feasible</v>
      </c>
    </row>
    <row r="59" spans="1:8" ht="23" customHeight="1" x14ac:dyDescent="0.2">
      <c r="A59" s="2">
        <v>23</v>
      </c>
      <c r="B59" s="5">
        <f t="shared" si="4"/>
        <v>10</v>
      </c>
      <c r="C59" s="5">
        <f t="shared" si="5"/>
        <v>10</v>
      </c>
      <c r="D59" s="5">
        <f t="shared" si="6"/>
        <v>10</v>
      </c>
      <c r="E59" s="6">
        <f>IF(A59&gt;$B$7,"",SUMPRODUCT(B59:D59,'P1 Lunch'!$B$5:$D$5))</f>
        <v>80</v>
      </c>
      <c r="F59" s="5">
        <f>IF(A59&gt;$B$7,"",SUMPRODUCT(B59:D59,'P1 Lunch'!$B$6:$D$6))</f>
        <v>70</v>
      </c>
      <c r="G59" s="5">
        <f>IF(A59&gt;$B$7,"",SUMPRODUCT(B59:D59,'P1 Lunch'!$B$7:$D$7))</f>
        <v>4.5</v>
      </c>
      <c r="H59" s="5" t="str">
        <f t="shared" si="7"/>
        <v>Feasible</v>
      </c>
    </row>
    <row r="60" spans="1:8" ht="23" customHeight="1" x14ac:dyDescent="0.2">
      <c r="A60" s="2">
        <v>23.5</v>
      </c>
      <c r="B60" s="5">
        <f t="shared" si="4"/>
        <v>10</v>
      </c>
      <c r="C60" s="5">
        <f t="shared" si="5"/>
        <v>10</v>
      </c>
      <c r="D60" s="5">
        <f t="shared" si="6"/>
        <v>10</v>
      </c>
      <c r="E60" s="6">
        <f>IF(A60&gt;$B$7,"",SUMPRODUCT(B60:D60,'P1 Lunch'!$B$5:$D$5))</f>
        <v>80</v>
      </c>
      <c r="F60" s="5">
        <f>IF(A60&gt;$B$7,"",SUMPRODUCT(B60:D60,'P1 Lunch'!$B$6:$D$6))</f>
        <v>70</v>
      </c>
      <c r="G60" s="5">
        <f>IF(A60&gt;$B$7,"",SUMPRODUCT(B60:D60,'P1 Lunch'!$B$7:$D$7))</f>
        <v>4.5</v>
      </c>
      <c r="H60" s="5" t="str">
        <f t="shared" si="7"/>
        <v>Feasible</v>
      </c>
    </row>
    <row r="61" spans="1:8" ht="23" customHeight="1" x14ac:dyDescent="0.2">
      <c r="A61" s="2">
        <v>24</v>
      </c>
      <c r="B61" s="5">
        <f t="shared" si="4"/>
        <v>10</v>
      </c>
      <c r="C61" s="5">
        <f t="shared" si="5"/>
        <v>10</v>
      </c>
      <c r="D61" s="5">
        <f t="shared" si="6"/>
        <v>10</v>
      </c>
      <c r="E61" s="6">
        <f>IF(A61&gt;$B$7,"",SUMPRODUCT(B61:D61,'P1 Lunch'!$B$5:$D$5))</f>
        <v>80</v>
      </c>
      <c r="F61" s="5">
        <f>IF(A61&gt;$B$7,"",SUMPRODUCT(B61:D61,'P1 Lunch'!$B$6:$D$6))</f>
        <v>70</v>
      </c>
      <c r="G61" s="5">
        <f>IF(A61&gt;$B$7,"",SUMPRODUCT(B61:D61,'P1 Lunch'!$B$7:$D$7))</f>
        <v>4.5</v>
      </c>
      <c r="H61" s="5" t="str">
        <f t="shared" si="7"/>
        <v>Feasible</v>
      </c>
    </row>
    <row r="62" spans="1:8" ht="23" customHeight="1" x14ac:dyDescent="0.2">
      <c r="A62" s="2">
        <v>24.5</v>
      </c>
      <c r="B62" s="5">
        <f t="shared" si="4"/>
        <v>10</v>
      </c>
      <c r="C62" s="5">
        <f t="shared" si="5"/>
        <v>10</v>
      </c>
      <c r="D62" s="5">
        <f t="shared" si="6"/>
        <v>10</v>
      </c>
      <c r="E62" s="6">
        <f>IF(A62&gt;$B$7,"",SUMPRODUCT(B62:D62,'P1 Lunch'!$B$5:$D$5))</f>
        <v>80</v>
      </c>
      <c r="F62" s="5">
        <f>IF(A62&gt;$B$7,"",SUMPRODUCT(B62:D62,'P1 Lunch'!$B$6:$D$6))</f>
        <v>70</v>
      </c>
      <c r="G62" s="5">
        <f>IF(A62&gt;$B$7,"",SUMPRODUCT(B62:D62,'P1 Lunch'!$B$7:$D$7))</f>
        <v>4.5</v>
      </c>
      <c r="H62" s="5" t="str">
        <f t="shared" si="7"/>
        <v>Feasible</v>
      </c>
    </row>
    <row r="63" spans="1:8" ht="23" customHeight="1" x14ac:dyDescent="0.2">
      <c r="A63" s="2">
        <v>25</v>
      </c>
      <c r="B63" s="5">
        <f t="shared" si="4"/>
        <v>10</v>
      </c>
      <c r="C63" s="5">
        <f t="shared" si="5"/>
        <v>10</v>
      </c>
      <c r="D63" s="5">
        <f t="shared" si="6"/>
        <v>10</v>
      </c>
      <c r="E63" s="6">
        <f>IF(A63&gt;$B$7,"",SUMPRODUCT(B63:D63,'P1 Lunch'!$B$5:$D$5))</f>
        <v>80</v>
      </c>
      <c r="F63" s="5">
        <f>IF(A63&gt;$B$7,"",SUMPRODUCT(B63:D63,'P1 Lunch'!$B$6:$D$6))</f>
        <v>70</v>
      </c>
      <c r="G63" s="5">
        <f>IF(A63&gt;$B$7,"",SUMPRODUCT(B63:D63,'P1 Lunch'!$B$7:$D$7))</f>
        <v>4.5</v>
      </c>
      <c r="H63" s="5" t="str">
        <f t="shared" si="7"/>
        <v>Feasible</v>
      </c>
    </row>
    <row r="64" spans="1:8" ht="23" customHeight="1" x14ac:dyDescent="0.2">
      <c r="A64" s="2">
        <v>25.5</v>
      </c>
      <c r="B64" s="5">
        <f t="shared" si="4"/>
        <v>10</v>
      </c>
      <c r="C64" s="5">
        <f t="shared" si="5"/>
        <v>10</v>
      </c>
      <c r="D64" s="5">
        <f t="shared" si="6"/>
        <v>10</v>
      </c>
      <c r="E64" s="6">
        <f>IF(A64&gt;$B$7,"",SUMPRODUCT(B64:D64,'P1 Lunch'!$B$5:$D$5))</f>
        <v>80</v>
      </c>
      <c r="F64" s="5">
        <f>IF(A64&gt;$B$7,"",SUMPRODUCT(B64:D64,'P1 Lunch'!$B$6:$D$6))</f>
        <v>70</v>
      </c>
      <c r="G64" s="5">
        <f>IF(A64&gt;$B$7,"",SUMPRODUCT(B64:D64,'P1 Lunch'!$B$7:$D$7))</f>
        <v>4.5</v>
      </c>
      <c r="H64" s="5" t="str">
        <f t="shared" si="7"/>
        <v>Feasible</v>
      </c>
    </row>
    <row r="65" spans="1:8" ht="23" customHeight="1" x14ac:dyDescent="0.2">
      <c r="A65" s="2">
        <v>26</v>
      </c>
      <c r="B65" s="5">
        <f t="shared" si="4"/>
        <v>10</v>
      </c>
      <c r="C65" s="5">
        <f t="shared" si="5"/>
        <v>10</v>
      </c>
      <c r="D65" s="5">
        <f t="shared" si="6"/>
        <v>10</v>
      </c>
      <c r="E65" s="6">
        <f>IF(A65&gt;$B$7,"",SUMPRODUCT(B65:D65,'P1 Lunch'!$B$5:$D$5))</f>
        <v>80</v>
      </c>
      <c r="F65" s="5">
        <f>IF(A65&gt;$B$7,"",SUMPRODUCT(B65:D65,'P1 Lunch'!$B$6:$D$6))</f>
        <v>70</v>
      </c>
      <c r="G65" s="5">
        <f>IF(A65&gt;$B$7,"",SUMPRODUCT(B65:D65,'P1 Lunch'!$B$7:$D$7))</f>
        <v>4.5</v>
      </c>
      <c r="H65" s="5" t="str">
        <f t="shared" si="7"/>
        <v>Feasible</v>
      </c>
    </row>
    <row r="66" spans="1:8" ht="23" customHeight="1" x14ac:dyDescent="0.2">
      <c r="A66" s="2">
        <v>26.5</v>
      </c>
      <c r="B66" s="5">
        <f t="shared" si="4"/>
        <v>10</v>
      </c>
      <c r="C66" s="5">
        <f t="shared" si="5"/>
        <v>10</v>
      </c>
      <c r="D66" s="5">
        <f t="shared" si="6"/>
        <v>10</v>
      </c>
      <c r="E66" s="6">
        <f>IF(A66&gt;$B$7,"",SUMPRODUCT(B66:D66,'P1 Lunch'!$B$5:$D$5))</f>
        <v>80</v>
      </c>
      <c r="F66" s="5">
        <f>IF(A66&gt;$B$7,"",SUMPRODUCT(B66:D66,'P1 Lunch'!$B$6:$D$6))</f>
        <v>70</v>
      </c>
      <c r="G66" s="5">
        <f>IF(A66&gt;$B$7,"",SUMPRODUCT(B66:D66,'P1 Lunch'!$B$7:$D$7))</f>
        <v>4.5</v>
      </c>
      <c r="H66" s="5" t="str">
        <f t="shared" si="7"/>
        <v>Feasible</v>
      </c>
    </row>
    <row r="67" spans="1:8" ht="23" customHeight="1" x14ac:dyDescent="0.2">
      <c r="A67" s="2">
        <v>27</v>
      </c>
      <c r="B67" s="5">
        <f t="shared" si="4"/>
        <v>10</v>
      </c>
      <c r="C67" s="5">
        <f t="shared" si="5"/>
        <v>10</v>
      </c>
      <c r="D67" s="5">
        <f t="shared" si="6"/>
        <v>10</v>
      </c>
      <c r="E67" s="6">
        <f>IF(A67&gt;$B$7,"",SUMPRODUCT(B67:D67,'P1 Lunch'!$B$5:$D$5))</f>
        <v>80</v>
      </c>
      <c r="F67" s="5">
        <f>IF(A67&gt;$B$7,"",SUMPRODUCT(B67:D67,'P1 Lunch'!$B$6:$D$6))</f>
        <v>70</v>
      </c>
      <c r="G67" s="5">
        <f>IF(A67&gt;$B$7,"",SUMPRODUCT(B67:D67,'P1 Lunch'!$B$7:$D$7))</f>
        <v>4.5</v>
      </c>
      <c r="H67" s="5" t="str">
        <f t="shared" si="7"/>
        <v>Feasible</v>
      </c>
    </row>
    <row r="68" spans="1:8" ht="23" customHeight="1" x14ac:dyDescent="0.2">
      <c r="A68" s="2">
        <v>27.5</v>
      </c>
      <c r="B68" s="5">
        <f t="shared" si="4"/>
        <v>10</v>
      </c>
      <c r="C68" s="5">
        <f t="shared" si="5"/>
        <v>10</v>
      </c>
      <c r="D68" s="5">
        <f t="shared" si="6"/>
        <v>10</v>
      </c>
      <c r="E68" s="6">
        <f>IF(A68&gt;$B$7,"",SUMPRODUCT(B68:D68,'P1 Lunch'!$B$5:$D$5))</f>
        <v>80</v>
      </c>
      <c r="F68" s="5">
        <f>IF(A68&gt;$B$7,"",SUMPRODUCT(B68:D68,'P1 Lunch'!$B$6:$D$6))</f>
        <v>70</v>
      </c>
      <c r="G68" s="5">
        <f>IF(A68&gt;$B$7,"",SUMPRODUCT(B68:D68,'P1 Lunch'!$B$7:$D$7))</f>
        <v>4.5</v>
      </c>
      <c r="H68" s="5" t="str">
        <f t="shared" si="7"/>
        <v>Feasible</v>
      </c>
    </row>
    <row r="69" spans="1:8" ht="23" customHeight="1" x14ac:dyDescent="0.2">
      <c r="A69" s="2">
        <v>28</v>
      </c>
      <c r="B69" s="5">
        <f t="shared" si="4"/>
        <v>10</v>
      </c>
      <c r="C69" s="5">
        <f t="shared" si="5"/>
        <v>10</v>
      </c>
      <c r="D69" s="5">
        <f t="shared" si="6"/>
        <v>10</v>
      </c>
      <c r="E69" s="6">
        <f>IF(A69&gt;$B$7,"",SUMPRODUCT(B69:D69,'P1 Lunch'!$B$5:$D$5))</f>
        <v>80</v>
      </c>
      <c r="F69" s="5">
        <f>IF(A69&gt;$B$7,"",SUMPRODUCT(B69:D69,'P1 Lunch'!$B$6:$D$6))</f>
        <v>70</v>
      </c>
      <c r="G69" s="5">
        <f>IF(A69&gt;$B$7,"",SUMPRODUCT(B69:D69,'P1 Lunch'!$B$7:$D$7))</f>
        <v>4.5</v>
      </c>
      <c r="H69" s="5" t="str">
        <f t="shared" si="7"/>
        <v>Feasible</v>
      </c>
    </row>
    <row r="70" spans="1:8" ht="23" customHeight="1" x14ac:dyDescent="0.2">
      <c r="A70" s="2">
        <v>28.5</v>
      </c>
      <c r="B70" s="5">
        <f t="shared" si="4"/>
        <v>10</v>
      </c>
      <c r="C70" s="5">
        <f t="shared" si="5"/>
        <v>10</v>
      </c>
      <c r="D70" s="5">
        <f t="shared" si="6"/>
        <v>10</v>
      </c>
      <c r="E70" s="6">
        <f>IF(A70&gt;$B$7,"",SUMPRODUCT(B70:D70,'P1 Lunch'!$B$5:$D$5))</f>
        <v>80</v>
      </c>
      <c r="F70" s="5">
        <f>IF(A70&gt;$B$7,"",SUMPRODUCT(B70:D70,'P1 Lunch'!$B$6:$D$6))</f>
        <v>70</v>
      </c>
      <c r="G70" s="5">
        <f>IF(A70&gt;$B$7,"",SUMPRODUCT(B70:D70,'P1 Lunch'!$B$7:$D$7))</f>
        <v>4.5</v>
      </c>
      <c r="H70" s="5" t="str">
        <f t="shared" si="7"/>
        <v>Feasible</v>
      </c>
    </row>
    <row r="71" spans="1:8" ht="23" customHeight="1" x14ac:dyDescent="0.2">
      <c r="A71" s="2">
        <v>29</v>
      </c>
      <c r="B71" s="5">
        <f t="shared" si="4"/>
        <v>10</v>
      </c>
      <c r="C71" s="5">
        <f t="shared" si="5"/>
        <v>10</v>
      </c>
      <c r="D71" s="5">
        <f t="shared" si="6"/>
        <v>10</v>
      </c>
      <c r="E71" s="6">
        <f>IF(A71&gt;$B$7,"",SUMPRODUCT(B71:D71,'P1 Lunch'!$B$5:$D$5))</f>
        <v>80</v>
      </c>
      <c r="F71" s="5">
        <f>IF(A71&gt;$B$7,"",SUMPRODUCT(B71:D71,'P1 Lunch'!$B$6:$D$6))</f>
        <v>70</v>
      </c>
      <c r="G71" s="5">
        <f>IF(A71&gt;$B$7,"",SUMPRODUCT(B71:D71,'P1 Lunch'!$B$7:$D$7))</f>
        <v>4.5</v>
      </c>
      <c r="H71" s="5" t="str">
        <f t="shared" si="7"/>
        <v>Feasible</v>
      </c>
    </row>
    <row r="72" spans="1:8" ht="23" customHeight="1" x14ac:dyDescent="0.2">
      <c r="A72" s="2">
        <v>29.5</v>
      </c>
      <c r="B72" s="5">
        <f t="shared" si="4"/>
        <v>10</v>
      </c>
      <c r="C72" s="5">
        <f t="shared" si="5"/>
        <v>10</v>
      </c>
      <c r="D72" s="5">
        <f t="shared" si="6"/>
        <v>10</v>
      </c>
      <c r="E72" s="6">
        <f>IF(A72&gt;$B$7,"",SUMPRODUCT(B72:D72,'P1 Lunch'!$B$5:$D$5))</f>
        <v>80</v>
      </c>
      <c r="F72" s="5">
        <f>IF(A72&gt;$B$7,"",SUMPRODUCT(B72:D72,'P1 Lunch'!$B$6:$D$6))</f>
        <v>70</v>
      </c>
      <c r="G72" s="5">
        <f>IF(A72&gt;$B$7,"",SUMPRODUCT(B72:D72,'P1 Lunch'!$B$7:$D$7))</f>
        <v>4.5</v>
      </c>
      <c r="H72" s="5" t="str">
        <f t="shared" si="7"/>
        <v>Feasible</v>
      </c>
    </row>
    <row r="73" spans="1:8" ht="23" customHeight="1" x14ac:dyDescent="0.2">
      <c r="A73" s="2">
        <v>30</v>
      </c>
      <c r="B73" s="5">
        <f t="shared" si="4"/>
        <v>10</v>
      </c>
      <c r="C73" s="5">
        <f t="shared" si="5"/>
        <v>10</v>
      </c>
      <c r="D73" s="5">
        <f t="shared" si="6"/>
        <v>10</v>
      </c>
      <c r="E73" s="6">
        <f>IF(A73&gt;$B$7,"",SUMPRODUCT(B73:D73,'P1 Lunch'!$B$5:$D$5))</f>
        <v>80</v>
      </c>
      <c r="F73" s="5">
        <f>IF(A73&gt;$B$7,"",SUMPRODUCT(B73:D73,'P1 Lunch'!$B$6:$D$6))</f>
        <v>70</v>
      </c>
      <c r="G73" s="5">
        <f>IF(A73&gt;$B$7,"",SUMPRODUCT(B73:D73,'P1 Lunch'!$B$7:$D$7))</f>
        <v>4.5</v>
      </c>
      <c r="H73" s="5" t="str">
        <f t="shared" si="7"/>
        <v>Feasible</v>
      </c>
    </row>
    <row r="74" spans="1:8" ht="23" customHeight="1" x14ac:dyDescent="0.2">
      <c r="A74" s="2">
        <v>30.5</v>
      </c>
      <c r="B74" s="5">
        <f t="shared" si="4"/>
        <v>10</v>
      </c>
      <c r="C74" s="5">
        <f t="shared" si="5"/>
        <v>10.5</v>
      </c>
      <c r="D74" s="5">
        <f t="shared" si="6"/>
        <v>10</v>
      </c>
      <c r="E74" s="6">
        <f>IF(A74&gt;$B$7,"",SUMPRODUCT(B74:D74,'P1 Lunch'!$B$5:$D$5))</f>
        <v>80.5</v>
      </c>
      <c r="F74" s="5">
        <f>IF(A74&gt;$B$7,"",SUMPRODUCT(B74:D74,'P1 Lunch'!$B$6:$D$6))</f>
        <v>71</v>
      </c>
      <c r="G74" s="5">
        <f>IF(A74&gt;$B$7,"",SUMPRODUCT(B74:D74,'P1 Lunch'!$B$7:$D$7))</f>
        <v>4.5999999999999996</v>
      </c>
      <c r="H74" s="5" t="str">
        <f t="shared" si="7"/>
        <v>Feasible</v>
      </c>
    </row>
    <row r="75" spans="1:8" ht="23" customHeight="1" x14ac:dyDescent="0.2">
      <c r="A75" s="2">
        <v>31</v>
      </c>
      <c r="B75" s="5">
        <f t="shared" si="4"/>
        <v>10</v>
      </c>
      <c r="C75" s="5">
        <f t="shared" si="5"/>
        <v>11</v>
      </c>
      <c r="D75" s="5">
        <f t="shared" si="6"/>
        <v>10</v>
      </c>
      <c r="E75" s="6">
        <f>IF(A75&gt;$B$7,"",SUMPRODUCT(B75:D75,'P1 Lunch'!$B$5:$D$5))</f>
        <v>81</v>
      </c>
      <c r="F75" s="5">
        <f>IF(A75&gt;$B$7,"",SUMPRODUCT(B75:D75,'P1 Lunch'!$B$6:$D$6))</f>
        <v>72</v>
      </c>
      <c r="G75" s="5">
        <f>IF(A75&gt;$B$7,"",SUMPRODUCT(B75:D75,'P1 Lunch'!$B$7:$D$7))</f>
        <v>4.7</v>
      </c>
      <c r="H75" s="5" t="str">
        <f t="shared" si="7"/>
        <v>Feasible</v>
      </c>
    </row>
    <row r="76" spans="1:8" ht="23" customHeight="1" x14ac:dyDescent="0.2">
      <c r="A76" s="2">
        <v>31.5</v>
      </c>
      <c r="B76" s="5">
        <f t="shared" si="4"/>
        <v>10</v>
      </c>
      <c r="C76" s="5">
        <f t="shared" si="5"/>
        <v>11.5</v>
      </c>
      <c r="D76" s="5">
        <f t="shared" si="6"/>
        <v>10</v>
      </c>
      <c r="E76" s="6">
        <f>IF(A76&gt;$B$7,"",SUMPRODUCT(B76:D76,'P1 Lunch'!$B$5:$D$5))</f>
        <v>81.5</v>
      </c>
      <c r="F76" s="5">
        <f>IF(A76&gt;$B$7,"",SUMPRODUCT(B76:D76,'P1 Lunch'!$B$6:$D$6))</f>
        <v>73</v>
      </c>
      <c r="G76" s="5">
        <f>IF(A76&gt;$B$7,"",SUMPRODUCT(B76:D76,'P1 Lunch'!$B$7:$D$7))</f>
        <v>4.8000000000000007</v>
      </c>
      <c r="H76" s="5" t="str">
        <f t="shared" si="7"/>
        <v>Feasible</v>
      </c>
    </row>
    <row r="77" spans="1:8" ht="23" customHeight="1" x14ac:dyDescent="0.2">
      <c r="A77" s="2">
        <v>32</v>
      </c>
      <c r="B77" s="5">
        <f t="shared" ref="B77:B108" si="8">IF(A77&gt;$B$7,"",IF(A77&lt;=$B$6,10,2*A77-85))</f>
        <v>10</v>
      </c>
      <c r="C77" s="5">
        <f t="shared" ref="C77:C108" si="9">IF(A77&gt;$B$7,"",IF(A77&lt;=$B$5,10,IF(A77&lt;=$B$6,A77-20,75-A77)))</f>
        <v>12</v>
      </c>
      <c r="D77" s="5">
        <f t="shared" ref="D77:D108" si="10">IF(A77&gt;$B$7,"",10)</f>
        <v>10</v>
      </c>
      <c r="E77" s="6">
        <f>IF(A77&gt;$B$7,"",SUMPRODUCT(B77:D77,'P1 Lunch'!$B$5:$D$5))</f>
        <v>82</v>
      </c>
      <c r="F77" s="5">
        <f>IF(A77&gt;$B$7,"",SUMPRODUCT(B77:D77,'P1 Lunch'!$B$6:$D$6))</f>
        <v>74</v>
      </c>
      <c r="G77" s="5">
        <f>IF(A77&gt;$B$7,"",SUMPRODUCT(B77:D77,'P1 Lunch'!$B$7:$D$7))</f>
        <v>4.9000000000000004</v>
      </c>
      <c r="H77" s="5" t="str">
        <f t="shared" ref="H77:H108" si="11">IF(A77&gt;$B$7,"Infeasible","Feasible")</f>
        <v>Feasible</v>
      </c>
    </row>
    <row r="78" spans="1:8" ht="23" customHeight="1" x14ac:dyDescent="0.2">
      <c r="A78" s="2">
        <v>32.5</v>
      </c>
      <c r="B78" s="5">
        <f t="shared" si="8"/>
        <v>10</v>
      </c>
      <c r="C78" s="5">
        <f t="shared" si="9"/>
        <v>12.5</v>
      </c>
      <c r="D78" s="5">
        <f t="shared" si="10"/>
        <v>10</v>
      </c>
      <c r="E78" s="6">
        <f>IF(A78&gt;$B$7,"",SUMPRODUCT(B78:D78,'P1 Lunch'!$B$5:$D$5))</f>
        <v>82.5</v>
      </c>
      <c r="F78" s="5">
        <f>IF(A78&gt;$B$7,"",SUMPRODUCT(B78:D78,'P1 Lunch'!$B$6:$D$6))</f>
        <v>75</v>
      </c>
      <c r="G78" s="5">
        <f>IF(A78&gt;$B$7,"",SUMPRODUCT(B78:D78,'P1 Lunch'!$B$7:$D$7))</f>
        <v>5</v>
      </c>
      <c r="H78" s="5" t="str">
        <f t="shared" si="11"/>
        <v>Feasible</v>
      </c>
    </row>
    <row r="79" spans="1:8" ht="23" customHeight="1" x14ac:dyDescent="0.2">
      <c r="A79" s="2">
        <v>33</v>
      </c>
      <c r="B79" s="5">
        <f t="shared" si="8"/>
        <v>10</v>
      </c>
      <c r="C79" s="5">
        <f t="shared" si="9"/>
        <v>13</v>
      </c>
      <c r="D79" s="5">
        <f t="shared" si="10"/>
        <v>10</v>
      </c>
      <c r="E79" s="6">
        <f>IF(A79&gt;$B$7,"",SUMPRODUCT(B79:D79,'P1 Lunch'!$B$5:$D$5))</f>
        <v>83</v>
      </c>
      <c r="F79" s="5">
        <f>IF(A79&gt;$B$7,"",SUMPRODUCT(B79:D79,'P1 Lunch'!$B$6:$D$6))</f>
        <v>76</v>
      </c>
      <c r="G79" s="5">
        <f>IF(A79&gt;$B$7,"",SUMPRODUCT(B79:D79,'P1 Lunch'!$B$7:$D$7))</f>
        <v>5.0999999999999996</v>
      </c>
      <c r="H79" s="5" t="str">
        <f t="shared" si="11"/>
        <v>Feasible</v>
      </c>
    </row>
    <row r="80" spans="1:8" ht="23" customHeight="1" x14ac:dyDescent="0.2">
      <c r="A80" s="2">
        <v>33.5</v>
      </c>
      <c r="B80" s="5">
        <f t="shared" si="8"/>
        <v>10</v>
      </c>
      <c r="C80" s="5">
        <f t="shared" si="9"/>
        <v>13.5</v>
      </c>
      <c r="D80" s="5">
        <f t="shared" si="10"/>
        <v>10</v>
      </c>
      <c r="E80" s="6">
        <f>IF(A80&gt;$B$7,"",SUMPRODUCT(B80:D80,'P1 Lunch'!$B$5:$D$5))</f>
        <v>83.5</v>
      </c>
      <c r="F80" s="5">
        <f>IF(A80&gt;$B$7,"",SUMPRODUCT(B80:D80,'P1 Lunch'!$B$6:$D$6))</f>
        <v>77</v>
      </c>
      <c r="G80" s="5">
        <f>IF(A80&gt;$B$7,"",SUMPRODUCT(B80:D80,'P1 Lunch'!$B$7:$D$7))</f>
        <v>5.2</v>
      </c>
      <c r="H80" s="5" t="str">
        <f t="shared" si="11"/>
        <v>Feasible</v>
      </c>
    </row>
    <row r="81" spans="1:8" ht="23" customHeight="1" x14ac:dyDescent="0.2">
      <c r="A81" s="2">
        <v>34</v>
      </c>
      <c r="B81" s="5">
        <f t="shared" si="8"/>
        <v>10</v>
      </c>
      <c r="C81" s="5">
        <f t="shared" si="9"/>
        <v>14</v>
      </c>
      <c r="D81" s="5">
        <f t="shared" si="10"/>
        <v>10</v>
      </c>
      <c r="E81" s="6">
        <f>IF(A81&gt;$B$7,"",SUMPRODUCT(B81:D81,'P1 Lunch'!$B$5:$D$5))</f>
        <v>84</v>
      </c>
      <c r="F81" s="5">
        <f>IF(A81&gt;$B$7,"",SUMPRODUCT(B81:D81,'P1 Lunch'!$B$6:$D$6))</f>
        <v>78</v>
      </c>
      <c r="G81" s="5">
        <f>IF(A81&gt;$B$7,"",SUMPRODUCT(B81:D81,'P1 Lunch'!$B$7:$D$7))</f>
        <v>5.3000000000000007</v>
      </c>
      <c r="H81" s="5" t="str">
        <f t="shared" si="11"/>
        <v>Feasible</v>
      </c>
    </row>
    <row r="82" spans="1:8" ht="23" customHeight="1" x14ac:dyDescent="0.2">
      <c r="A82" s="2">
        <v>34.5</v>
      </c>
      <c r="B82" s="5">
        <f t="shared" si="8"/>
        <v>10</v>
      </c>
      <c r="C82" s="5">
        <f t="shared" si="9"/>
        <v>14.5</v>
      </c>
      <c r="D82" s="5">
        <f t="shared" si="10"/>
        <v>10</v>
      </c>
      <c r="E82" s="6">
        <f>IF(A82&gt;$B$7,"",SUMPRODUCT(B82:D82,'P1 Lunch'!$B$5:$D$5))</f>
        <v>84.5</v>
      </c>
      <c r="F82" s="5">
        <f>IF(A82&gt;$B$7,"",SUMPRODUCT(B82:D82,'P1 Lunch'!$B$6:$D$6))</f>
        <v>79</v>
      </c>
      <c r="G82" s="5">
        <f>IF(A82&gt;$B$7,"",SUMPRODUCT(B82:D82,'P1 Lunch'!$B$7:$D$7))</f>
        <v>5.4</v>
      </c>
      <c r="H82" s="5" t="str">
        <f t="shared" si="11"/>
        <v>Feasible</v>
      </c>
    </row>
    <row r="83" spans="1:8" ht="23" customHeight="1" x14ac:dyDescent="0.2">
      <c r="A83" s="2">
        <v>35</v>
      </c>
      <c r="B83" s="5">
        <f t="shared" si="8"/>
        <v>10</v>
      </c>
      <c r="C83" s="5">
        <f t="shared" si="9"/>
        <v>15</v>
      </c>
      <c r="D83" s="5">
        <f t="shared" si="10"/>
        <v>10</v>
      </c>
      <c r="E83" s="6">
        <f>IF(A83&gt;$B$7,"",SUMPRODUCT(B83:D83,'P1 Lunch'!$B$5:$D$5))</f>
        <v>85</v>
      </c>
      <c r="F83" s="5">
        <f>IF(A83&gt;$B$7,"",SUMPRODUCT(B83:D83,'P1 Lunch'!$B$6:$D$6))</f>
        <v>80</v>
      </c>
      <c r="G83" s="5">
        <f>IF(A83&gt;$B$7,"",SUMPRODUCT(B83:D83,'P1 Lunch'!$B$7:$D$7))</f>
        <v>5.5</v>
      </c>
      <c r="H83" s="5" t="str">
        <f t="shared" si="11"/>
        <v>Feasible</v>
      </c>
    </row>
    <row r="84" spans="1:8" ht="23" customHeight="1" x14ac:dyDescent="0.2">
      <c r="A84" s="2">
        <v>35.5</v>
      </c>
      <c r="B84" s="5">
        <f t="shared" si="8"/>
        <v>10</v>
      </c>
      <c r="C84" s="5">
        <f t="shared" si="9"/>
        <v>15.5</v>
      </c>
      <c r="D84" s="5">
        <f t="shared" si="10"/>
        <v>10</v>
      </c>
      <c r="E84" s="6">
        <f>IF(A84&gt;$B$7,"",SUMPRODUCT(B84:D84,'P1 Lunch'!$B$5:$D$5))</f>
        <v>85.5</v>
      </c>
      <c r="F84" s="5">
        <f>IF(A84&gt;$B$7,"",SUMPRODUCT(B84:D84,'P1 Lunch'!$B$6:$D$6))</f>
        <v>81</v>
      </c>
      <c r="G84" s="5">
        <f>IF(A84&gt;$B$7,"",SUMPRODUCT(B84:D84,'P1 Lunch'!$B$7:$D$7))</f>
        <v>5.6</v>
      </c>
      <c r="H84" s="5" t="str">
        <f t="shared" si="11"/>
        <v>Feasible</v>
      </c>
    </row>
    <row r="85" spans="1:8" ht="23" customHeight="1" x14ac:dyDescent="0.2">
      <c r="A85" s="2">
        <v>36</v>
      </c>
      <c r="B85" s="5">
        <f t="shared" si="8"/>
        <v>10</v>
      </c>
      <c r="C85" s="5">
        <f t="shared" si="9"/>
        <v>16</v>
      </c>
      <c r="D85" s="5">
        <f t="shared" si="10"/>
        <v>10</v>
      </c>
      <c r="E85" s="6">
        <f>IF(A85&gt;$B$7,"",SUMPRODUCT(B85:D85,'P1 Lunch'!$B$5:$D$5))</f>
        <v>86</v>
      </c>
      <c r="F85" s="5">
        <f>IF(A85&gt;$B$7,"",SUMPRODUCT(B85:D85,'P1 Lunch'!$B$6:$D$6))</f>
        <v>82</v>
      </c>
      <c r="G85" s="5">
        <f>IF(A85&gt;$B$7,"",SUMPRODUCT(B85:D85,'P1 Lunch'!$B$7:$D$7))</f>
        <v>5.7</v>
      </c>
      <c r="H85" s="5" t="str">
        <f t="shared" si="11"/>
        <v>Feasible</v>
      </c>
    </row>
    <row r="86" spans="1:8" ht="23" customHeight="1" x14ac:dyDescent="0.2">
      <c r="A86" s="2">
        <v>36.5</v>
      </c>
      <c r="B86" s="5">
        <f t="shared" si="8"/>
        <v>10</v>
      </c>
      <c r="C86" s="5">
        <f t="shared" si="9"/>
        <v>16.5</v>
      </c>
      <c r="D86" s="5">
        <f t="shared" si="10"/>
        <v>10</v>
      </c>
      <c r="E86" s="6">
        <f>IF(A86&gt;$B$7,"",SUMPRODUCT(B86:D86,'P1 Lunch'!$B$5:$D$5))</f>
        <v>86.5</v>
      </c>
      <c r="F86" s="5">
        <f>IF(A86&gt;$B$7,"",SUMPRODUCT(B86:D86,'P1 Lunch'!$B$6:$D$6))</f>
        <v>83</v>
      </c>
      <c r="G86" s="5">
        <f>IF(A86&gt;$B$7,"",SUMPRODUCT(B86:D86,'P1 Lunch'!$B$7:$D$7))</f>
        <v>5.8000000000000007</v>
      </c>
      <c r="H86" s="5" t="str">
        <f t="shared" si="11"/>
        <v>Feasible</v>
      </c>
    </row>
    <row r="87" spans="1:8" ht="23" customHeight="1" x14ac:dyDescent="0.2">
      <c r="A87" s="2">
        <v>37</v>
      </c>
      <c r="B87" s="5">
        <f t="shared" si="8"/>
        <v>10</v>
      </c>
      <c r="C87" s="5">
        <f t="shared" si="9"/>
        <v>17</v>
      </c>
      <c r="D87" s="5">
        <f t="shared" si="10"/>
        <v>10</v>
      </c>
      <c r="E87" s="6">
        <f>IF(A87&gt;$B$7,"",SUMPRODUCT(B87:D87,'P1 Lunch'!$B$5:$D$5))</f>
        <v>87</v>
      </c>
      <c r="F87" s="5">
        <f>IF(A87&gt;$B$7,"",SUMPRODUCT(B87:D87,'P1 Lunch'!$B$6:$D$6))</f>
        <v>84</v>
      </c>
      <c r="G87" s="5">
        <f>IF(A87&gt;$B$7,"",SUMPRODUCT(B87:D87,'P1 Lunch'!$B$7:$D$7))</f>
        <v>5.9</v>
      </c>
      <c r="H87" s="5" t="str">
        <f t="shared" si="11"/>
        <v>Feasible</v>
      </c>
    </row>
    <row r="88" spans="1:8" ht="23" customHeight="1" x14ac:dyDescent="0.2">
      <c r="A88" s="2">
        <v>37.5</v>
      </c>
      <c r="B88" s="5">
        <f t="shared" si="8"/>
        <v>10</v>
      </c>
      <c r="C88" s="5">
        <f t="shared" si="9"/>
        <v>17.5</v>
      </c>
      <c r="D88" s="5">
        <f t="shared" si="10"/>
        <v>10</v>
      </c>
      <c r="E88" s="6">
        <f>IF(A88&gt;$B$7,"",SUMPRODUCT(B88:D88,'P1 Lunch'!$B$5:$D$5))</f>
        <v>87.5</v>
      </c>
      <c r="F88" s="5">
        <f>IF(A88&gt;$B$7,"",SUMPRODUCT(B88:D88,'P1 Lunch'!$B$6:$D$6))</f>
        <v>85</v>
      </c>
      <c r="G88" s="5">
        <f>IF(A88&gt;$B$7,"",SUMPRODUCT(B88:D88,'P1 Lunch'!$B$7:$D$7))</f>
        <v>6</v>
      </c>
      <c r="H88" s="5" t="str">
        <f t="shared" si="11"/>
        <v>Feasible</v>
      </c>
    </row>
    <row r="89" spans="1:8" ht="23" customHeight="1" x14ac:dyDescent="0.2">
      <c r="A89" s="2">
        <v>38</v>
      </c>
      <c r="B89" s="5">
        <f t="shared" si="8"/>
        <v>10</v>
      </c>
      <c r="C89" s="5">
        <f t="shared" si="9"/>
        <v>18</v>
      </c>
      <c r="D89" s="5">
        <f t="shared" si="10"/>
        <v>10</v>
      </c>
      <c r="E89" s="6">
        <f>IF(A89&gt;$B$7,"",SUMPRODUCT(B89:D89,'P1 Lunch'!$B$5:$D$5))</f>
        <v>88</v>
      </c>
      <c r="F89" s="5">
        <f>IF(A89&gt;$B$7,"",SUMPRODUCT(B89:D89,'P1 Lunch'!$B$6:$D$6))</f>
        <v>86</v>
      </c>
      <c r="G89" s="5">
        <f>IF(A89&gt;$B$7,"",SUMPRODUCT(B89:D89,'P1 Lunch'!$B$7:$D$7))</f>
        <v>6.1</v>
      </c>
      <c r="H89" s="5" t="str">
        <f t="shared" si="11"/>
        <v>Feasible</v>
      </c>
    </row>
    <row r="90" spans="1:8" ht="23" customHeight="1" x14ac:dyDescent="0.2">
      <c r="A90" s="2">
        <v>38.5</v>
      </c>
      <c r="B90" s="5">
        <f t="shared" si="8"/>
        <v>10</v>
      </c>
      <c r="C90" s="5">
        <f t="shared" si="9"/>
        <v>18.5</v>
      </c>
      <c r="D90" s="5">
        <f t="shared" si="10"/>
        <v>10</v>
      </c>
      <c r="E90" s="6">
        <f>IF(A90&gt;$B$7,"",SUMPRODUCT(B90:D90,'P1 Lunch'!$B$5:$D$5))</f>
        <v>88.5</v>
      </c>
      <c r="F90" s="5">
        <f>IF(A90&gt;$B$7,"",SUMPRODUCT(B90:D90,'P1 Lunch'!$B$6:$D$6))</f>
        <v>87</v>
      </c>
      <c r="G90" s="5">
        <f>IF(A90&gt;$B$7,"",SUMPRODUCT(B90:D90,'P1 Lunch'!$B$7:$D$7))</f>
        <v>6.2</v>
      </c>
      <c r="H90" s="5" t="str">
        <f t="shared" si="11"/>
        <v>Feasible</v>
      </c>
    </row>
    <row r="91" spans="1:8" ht="23" customHeight="1" x14ac:dyDescent="0.2">
      <c r="A91" s="2">
        <v>39</v>
      </c>
      <c r="B91" s="5">
        <f t="shared" si="8"/>
        <v>10</v>
      </c>
      <c r="C91" s="5">
        <f t="shared" si="9"/>
        <v>19</v>
      </c>
      <c r="D91" s="5">
        <f t="shared" si="10"/>
        <v>10</v>
      </c>
      <c r="E91" s="6">
        <f>IF(A91&gt;$B$7,"",SUMPRODUCT(B91:D91,'P1 Lunch'!$B$5:$D$5))</f>
        <v>89</v>
      </c>
      <c r="F91" s="5">
        <f>IF(A91&gt;$B$7,"",SUMPRODUCT(B91:D91,'P1 Lunch'!$B$6:$D$6))</f>
        <v>88</v>
      </c>
      <c r="G91" s="5">
        <f>IF(A91&gt;$B$7,"",SUMPRODUCT(B91:D91,'P1 Lunch'!$B$7:$D$7))</f>
        <v>6.3000000000000007</v>
      </c>
      <c r="H91" s="5" t="str">
        <f t="shared" si="11"/>
        <v>Feasible</v>
      </c>
    </row>
    <row r="92" spans="1:8" ht="23" customHeight="1" x14ac:dyDescent="0.2">
      <c r="A92" s="2">
        <v>39.5</v>
      </c>
      <c r="B92" s="5">
        <f t="shared" si="8"/>
        <v>10</v>
      </c>
      <c r="C92" s="5">
        <f t="shared" si="9"/>
        <v>19.5</v>
      </c>
      <c r="D92" s="5">
        <f t="shared" si="10"/>
        <v>10</v>
      </c>
      <c r="E92" s="6">
        <f>IF(A92&gt;$B$7,"",SUMPRODUCT(B92:D92,'P1 Lunch'!$B$5:$D$5))</f>
        <v>89.5</v>
      </c>
      <c r="F92" s="5">
        <f>IF(A92&gt;$B$7,"",SUMPRODUCT(B92:D92,'P1 Lunch'!$B$6:$D$6))</f>
        <v>89</v>
      </c>
      <c r="G92" s="5">
        <f>IF(A92&gt;$B$7,"",SUMPRODUCT(B92:D92,'P1 Lunch'!$B$7:$D$7))</f>
        <v>6.4</v>
      </c>
      <c r="H92" s="5" t="str">
        <f t="shared" si="11"/>
        <v>Feasible</v>
      </c>
    </row>
    <row r="93" spans="1:8" ht="23" customHeight="1" x14ac:dyDescent="0.2">
      <c r="A93" s="2">
        <v>40</v>
      </c>
      <c r="B93" s="5">
        <f t="shared" si="8"/>
        <v>10</v>
      </c>
      <c r="C93" s="5">
        <f t="shared" si="9"/>
        <v>20</v>
      </c>
      <c r="D93" s="5">
        <f t="shared" si="10"/>
        <v>10</v>
      </c>
      <c r="E93" s="6">
        <f>IF(A93&gt;$B$7,"",SUMPRODUCT(B93:D93,'P1 Lunch'!$B$5:$D$5))</f>
        <v>90</v>
      </c>
      <c r="F93" s="5">
        <f>IF(A93&gt;$B$7,"",SUMPRODUCT(B93:D93,'P1 Lunch'!$B$6:$D$6))</f>
        <v>90</v>
      </c>
      <c r="G93" s="5">
        <f>IF(A93&gt;$B$7,"",SUMPRODUCT(B93:D93,'P1 Lunch'!$B$7:$D$7))</f>
        <v>6.5</v>
      </c>
      <c r="H93" s="5" t="str">
        <f t="shared" si="11"/>
        <v>Feasible</v>
      </c>
    </row>
    <row r="94" spans="1:8" ht="23" customHeight="1" x14ac:dyDescent="0.2">
      <c r="A94" s="2">
        <v>40.5</v>
      </c>
      <c r="B94" s="5">
        <f t="shared" si="8"/>
        <v>10</v>
      </c>
      <c r="C94" s="5">
        <f t="shared" si="9"/>
        <v>20.5</v>
      </c>
      <c r="D94" s="5">
        <f t="shared" si="10"/>
        <v>10</v>
      </c>
      <c r="E94" s="6">
        <f>IF(A94&gt;$B$7,"",SUMPRODUCT(B94:D94,'P1 Lunch'!$B$5:$D$5))</f>
        <v>90.5</v>
      </c>
      <c r="F94" s="5">
        <f>IF(A94&gt;$B$7,"",SUMPRODUCT(B94:D94,'P1 Lunch'!$B$6:$D$6))</f>
        <v>91</v>
      </c>
      <c r="G94" s="5">
        <f>IF(A94&gt;$B$7,"",SUMPRODUCT(B94:D94,'P1 Lunch'!$B$7:$D$7))</f>
        <v>6.6000000000000005</v>
      </c>
      <c r="H94" s="5" t="str">
        <f t="shared" si="11"/>
        <v>Feasible</v>
      </c>
    </row>
    <row r="95" spans="1:8" ht="23" customHeight="1" x14ac:dyDescent="0.2">
      <c r="A95" s="2">
        <v>41</v>
      </c>
      <c r="B95" s="5">
        <f t="shared" si="8"/>
        <v>10</v>
      </c>
      <c r="C95" s="5">
        <f t="shared" si="9"/>
        <v>21</v>
      </c>
      <c r="D95" s="5">
        <f t="shared" si="10"/>
        <v>10</v>
      </c>
      <c r="E95" s="6">
        <f>IF(A95&gt;$B$7,"",SUMPRODUCT(B95:D95,'P1 Lunch'!$B$5:$D$5))</f>
        <v>91</v>
      </c>
      <c r="F95" s="5">
        <f>IF(A95&gt;$B$7,"",SUMPRODUCT(B95:D95,'P1 Lunch'!$B$6:$D$6))</f>
        <v>92</v>
      </c>
      <c r="G95" s="5">
        <f>IF(A95&gt;$B$7,"",SUMPRODUCT(B95:D95,'P1 Lunch'!$B$7:$D$7))</f>
        <v>6.7</v>
      </c>
      <c r="H95" s="5" t="str">
        <f t="shared" si="11"/>
        <v>Feasible</v>
      </c>
    </row>
    <row r="96" spans="1:8" ht="23" customHeight="1" x14ac:dyDescent="0.2">
      <c r="A96" s="2">
        <v>41.5</v>
      </c>
      <c r="B96" s="5">
        <f t="shared" si="8"/>
        <v>10</v>
      </c>
      <c r="C96" s="5">
        <f t="shared" si="9"/>
        <v>21.5</v>
      </c>
      <c r="D96" s="5">
        <f t="shared" si="10"/>
        <v>10</v>
      </c>
      <c r="E96" s="6">
        <f>IF(A96&gt;$B$7,"",SUMPRODUCT(B96:D96,'P1 Lunch'!$B$5:$D$5))</f>
        <v>91.5</v>
      </c>
      <c r="F96" s="5">
        <f>IF(A96&gt;$B$7,"",SUMPRODUCT(B96:D96,'P1 Lunch'!$B$6:$D$6))</f>
        <v>93</v>
      </c>
      <c r="G96" s="5">
        <f>IF(A96&gt;$B$7,"",SUMPRODUCT(B96:D96,'P1 Lunch'!$B$7:$D$7))</f>
        <v>6.8</v>
      </c>
      <c r="H96" s="5" t="str">
        <f t="shared" si="11"/>
        <v>Feasible</v>
      </c>
    </row>
    <row r="97" spans="1:8" ht="23" customHeight="1" x14ac:dyDescent="0.2">
      <c r="A97" s="2">
        <v>42</v>
      </c>
      <c r="B97" s="5">
        <f t="shared" si="8"/>
        <v>10</v>
      </c>
      <c r="C97" s="5">
        <f t="shared" si="9"/>
        <v>22</v>
      </c>
      <c r="D97" s="5">
        <f t="shared" si="10"/>
        <v>10</v>
      </c>
      <c r="E97" s="6">
        <f>IF(A97&gt;$B$7,"",SUMPRODUCT(B97:D97,'P1 Lunch'!$B$5:$D$5))</f>
        <v>92</v>
      </c>
      <c r="F97" s="5">
        <f>IF(A97&gt;$B$7,"",SUMPRODUCT(B97:D97,'P1 Lunch'!$B$6:$D$6))</f>
        <v>94</v>
      </c>
      <c r="G97" s="5">
        <f>IF(A97&gt;$B$7,"",SUMPRODUCT(B97:D97,'P1 Lunch'!$B$7:$D$7))</f>
        <v>6.9</v>
      </c>
      <c r="H97" s="5" t="str">
        <f t="shared" si="11"/>
        <v>Feasible</v>
      </c>
    </row>
    <row r="98" spans="1:8" ht="23" customHeight="1" x14ac:dyDescent="0.2">
      <c r="A98" s="2">
        <v>42.5</v>
      </c>
      <c r="B98" s="5">
        <f t="shared" si="8"/>
        <v>10</v>
      </c>
      <c r="C98" s="5">
        <f t="shared" si="9"/>
        <v>22.5</v>
      </c>
      <c r="D98" s="5">
        <f t="shared" si="10"/>
        <v>10</v>
      </c>
      <c r="E98" s="6">
        <f>IF(A98&gt;$B$7,"",SUMPRODUCT(B98:D98,'P1 Lunch'!$B$5:$D$5))</f>
        <v>92.5</v>
      </c>
      <c r="F98" s="5">
        <f>IF(A98&gt;$B$7,"",SUMPRODUCT(B98:D98,'P1 Lunch'!$B$6:$D$6))</f>
        <v>95</v>
      </c>
      <c r="G98" s="5">
        <f>IF(A98&gt;$B$7,"",SUMPRODUCT(B98:D98,'P1 Lunch'!$B$7:$D$7))</f>
        <v>7</v>
      </c>
      <c r="H98" s="5" t="str">
        <f t="shared" si="11"/>
        <v>Feasible</v>
      </c>
    </row>
    <row r="99" spans="1:8" ht="23" customHeight="1" x14ac:dyDescent="0.2">
      <c r="A99" s="2">
        <v>43</v>
      </c>
      <c r="B99" s="5">
        <f t="shared" si="8"/>
        <v>10</v>
      </c>
      <c r="C99" s="5">
        <f t="shared" si="9"/>
        <v>23</v>
      </c>
      <c r="D99" s="5">
        <f t="shared" si="10"/>
        <v>10</v>
      </c>
      <c r="E99" s="6">
        <f>IF(A99&gt;$B$7,"",SUMPRODUCT(B99:D99,'P1 Lunch'!$B$5:$D$5))</f>
        <v>93</v>
      </c>
      <c r="F99" s="5">
        <f>IF(A99&gt;$B$7,"",SUMPRODUCT(B99:D99,'P1 Lunch'!$B$6:$D$6))</f>
        <v>96</v>
      </c>
      <c r="G99" s="5">
        <f>IF(A99&gt;$B$7,"",SUMPRODUCT(B99:D99,'P1 Lunch'!$B$7:$D$7))</f>
        <v>7.1000000000000005</v>
      </c>
      <c r="H99" s="5" t="str">
        <f t="shared" si="11"/>
        <v>Feasible</v>
      </c>
    </row>
    <row r="100" spans="1:8" ht="23" customHeight="1" x14ac:dyDescent="0.2">
      <c r="A100" s="2">
        <v>43.5</v>
      </c>
      <c r="B100" s="5">
        <f t="shared" si="8"/>
        <v>10</v>
      </c>
      <c r="C100" s="5">
        <f t="shared" si="9"/>
        <v>23.5</v>
      </c>
      <c r="D100" s="5">
        <f t="shared" si="10"/>
        <v>10</v>
      </c>
      <c r="E100" s="6">
        <f>IF(A100&gt;$B$7,"",SUMPRODUCT(B100:D100,'P1 Lunch'!$B$5:$D$5))</f>
        <v>93.5</v>
      </c>
      <c r="F100" s="5">
        <f>IF(A100&gt;$B$7,"",SUMPRODUCT(B100:D100,'P1 Lunch'!$B$6:$D$6))</f>
        <v>97</v>
      </c>
      <c r="G100" s="5">
        <f>IF(A100&gt;$B$7,"",SUMPRODUCT(B100:D100,'P1 Lunch'!$B$7:$D$7))</f>
        <v>7.2</v>
      </c>
      <c r="H100" s="5" t="str">
        <f t="shared" si="11"/>
        <v>Feasible</v>
      </c>
    </row>
    <row r="101" spans="1:8" ht="23" customHeight="1" x14ac:dyDescent="0.2">
      <c r="A101" s="2">
        <v>44</v>
      </c>
      <c r="B101" s="5">
        <f t="shared" si="8"/>
        <v>10</v>
      </c>
      <c r="C101" s="5">
        <f t="shared" si="9"/>
        <v>24</v>
      </c>
      <c r="D101" s="5">
        <f t="shared" si="10"/>
        <v>10</v>
      </c>
      <c r="E101" s="6">
        <f>IF(A101&gt;$B$7,"",SUMPRODUCT(B101:D101,'P1 Lunch'!$B$5:$D$5))</f>
        <v>94</v>
      </c>
      <c r="F101" s="5">
        <f>IF(A101&gt;$B$7,"",SUMPRODUCT(B101:D101,'P1 Lunch'!$B$6:$D$6))</f>
        <v>98</v>
      </c>
      <c r="G101" s="5">
        <f>IF(A101&gt;$B$7,"",SUMPRODUCT(B101:D101,'P1 Lunch'!$B$7:$D$7))</f>
        <v>7.3000000000000007</v>
      </c>
      <c r="H101" s="5" t="str">
        <f t="shared" si="11"/>
        <v>Feasible</v>
      </c>
    </row>
    <row r="102" spans="1:8" ht="23" customHeight="1" x14ac:dyDescent="0.2">
      <c r="A102" s="2">
        <v>44.5</v>
      </c>
      <c r="B102" s="5">
        <f t="shared" si="8"/>
        <v>10</v>
      </c>
      <c r="C102" s="5">
        <f t="shared" si="9"/>
        <v>24.5</v>
      </c>
      <c r="D102" s="5">
        <f t="shared" si="10"/>
        <v>10</v>
      </c>
      <c r="E102" s="6">
        <f>IF(A102&gt;$B$7,"",SUMPRODUCT(B102:D102,'P1 Lunch'!$B$5:$D$5))</f>
        <v>94.5</v>
      </c>
      <c r="F102" s="5">
        <f>IF(A102&gt;$B$7,"",SUMPRODUCT(B102:D102,'P1 Lunch'!$B$6:$D$6))</f>
        <v>99</v>
      </c>
      <c r="G102" s="5">
        <f>IF(A102&gt;$B$7,"",SUMPRODUCT(B102:D102,'P1 Lunch'!$B$7:$D$7))</f>
        <v>7.4</v>
      </c>
      <c r="H102" s="5" t="str">
        <f t="shared" si="11"/>
        <v>Feasible</v>
      </c>
    </row>
    <row r="103" spans="1:8" ht="23" customHeight="1" x14ac:dyDescent="0.2">
      <c r="A103" s="2">
        <v>45</v>
      </c>
      <c r="B103" s="5">
        <f t="shared" si="8"/>
        <v>10</v>
      </c>
      <c r="C103" s="5">
        <f t="shared" si="9"/>
        <v>25</v>
      </c>
      <c r="D103" s="5">
        <f t="shared" si="10"/>
        <v>10</v>
      </c>
      <c r="E103" s="6">
        <f>IF(A103&gt;$B$7,"",SUMPRODUCT(B103:D103,'P1 Lunch'!$B$5:$D$5))</f>
        <v>95</v>
      </c>
      <c r="F103" s="5">
        <f>IF(A103&gt;$B$7,"",SUMPRODUCT(B103:D103,'P1 Lunch'!$B$6:$D$6))</f>
        <v>100</v>
      </c>
      <c r="G103" s="5">
        <f>IF(A103&gt;$B$7,"",SUMPRODUCT(B103:D103,'P1 Lunch'!$B$7:$D$7))</f>
        <v>7.5</v>
      </c>
      <c r="H103" s="5" t="str">
        <f t="shared" si="11"/>
        <v>Feasible</v>
      </c>
    </row>
    <row r="104" spans="1:8" ht="23" customHeight="1" x14ac:dyDescent="0.2">
      <c r="A104" s="2">
        <v>45.5</v>
      </c>
      <c r="B104" s="5">
        <f t="shared" si="8"/>
        <v>10</v>
      </c>
      <c r="C104" s="5">
        <f t="shared" si="9"/>
        <v>25.5</v>
      </c>
      <c r="D104" s="5">
        <f t="shared" si="10"/>
        <v>10</v>
      </c>
      <c r="E104" s="6">
        <f>IF(A104&gt;$B$7,"",SUMPRODUCT(B104:D104,'P1 Lunch'!$B$5:$D$5))</f>
        <v>95.5</v>
      </c>
      <c r="F104" s="5">
        <f>IF(A104&gt;$B$7,"",SUMPRODUCT(B104:D104,'P1 Lunch'!$B$6:$D$6))</f>
        <v>101</v>
      </c>
      <c r="G104" s="5">
        <f>IF(A104&gt;$B$7,"",SUMPRODUCT(B104:D104,'P1 Lunch'!$B$7:$D$7))</f>
        <v>7.6000000000000005</v>
      </c>
      <c r="H104" s="5" t="str">
        <f t="shared" si="11"/>
        <v>Feasible</v>
      </c>
    </row>
    <row r="105" spans="1:8" ht="23" customHeight="1" x14ac:dyDescent="0.2">
      <c r="A105" s="2">
        <v>46</v>
      </c>
      <c r="B105" s="5">
        <f t="shared" si="8"/>
        <v>10</v>
      </c>
      <c r="C105" s="5">
        <f t="shared" si="9"/>
        <v>26</v>
      </c>
      <c r="D105" s="5">
        <f t="shared" si="10"/>
        <v>10</v>
      </c>
      <c r="E105" s="6">
        <f>IF(A105&gt;$B$7,"",SUMPRODUCT(B105:D105,'P1 Lunch'!$B$5:$D$5))</f>
        <v>96</v>
      </c>
      <c r="F105" s="5">
        <f>IF(A105&gt;$B$7,"",SUMPRODUCT(B105:D105,'P1 Lunch'!$B$6:$D$6))</f>
        <v>102</v>
      </c>
      <c r="G105" s="5">
        <f>IF(A105&gt;$B$7,"",SUMPRODUCT(B105:D105,'P1 Lunch'!$B$7:$D$7))</f>
        <v>7.7</v>
      </c>
      <c r="H105" s="5" t="str">
        <f t="shared" si="11"/>
        <v>Feasible</v>
      </c>
    </row>
    <row r="106" spans="1:8" ht="23" customHeight="1" x14ac:dyDescent="0.2">
      <c r="A106" s="2">
        <v>46.5</v>
      </c>
      <c r="B106" s="5">
        <f t="shared" si="8"/>
        <v>10</v>
      </c>
      <c r="C106" s="5">
        <f t="shared" si="9"/>
        <v>26.5</v>
      </c>
      <c r="D106" s="5">
        <f t="shared" si="10"/>
        <v>10</v>
      </c>
      <c r="E106" s="6">
        <f>IF(A106&gt;$B$7,"",SUMPRODUCT(B106:D106,'P1 Lunch'!$B$5:$D$5))</f>
        <v>96.5</v>
      </c>
      <c r="F106" s="5">
        <f>IF(A106&gt;$B$7,"",SUMPRODUCT(B106:D106,'P1 Lunch'!$B$6:$D$6))</f>
        <v>103</v>
      </c>
      <c r="G106" s="5">
        <f>IF(A106&gt;$B$7,"",SUMPRODUCT(B106:D106,'P1 Lunch'!$B$7:$D$7))</f>
        <v>7.8000000000000007</v>
      </c>
      <c r="H106" s="5" t="str">
        <f t="shared" si="11"/>
        <v>Feasible</v>
      </c>
    </row>
    <row r="107" spans="1:8" ht="23" customHeight="1" x14ac:dyDescent="0.2">
      <c r="A107" s="2">
        <v>47</v>
      </c>
      <c r="B107" s="5">
        <f t="shared" si="8"/>
        <v>10</v>
      </c>
      <c r="C107" s="5">
        <f t="shared" si="9"/>
        <v>27</v>
      </c>
      <c r="D107" s="5">
        <f t="shared" si="10"/>
        <v>10</v>
      </c>
      <c r="E107" s="6">
        <f>IF(A107&gt;$B$7,"",SUMPRODUCT(B107:D107,'P1 Lunch'!$B$5:$D$5))</f>
        <v>97</v>
      </c>
      <c r="F107" s="5">
        <f>IF(A107&gt;$B$7,"",SUMPRODUCT(B107:D107,'P1 Lunch'!$B$6:$D$6))</f>
        <v>104</v>
      </c>
      <c r="G107" s="5">
        <f>IF(A107&gt;$B$7,"",SUMPRODUCT(B107:D107,'P1 Lunch'!$B$7:$D$7))</f>
        <v>7.9</v>
      </c>
      <c r="H107" s="5" t="str">
        <f t="shared" si="11"/>
        <v>Feasible</v>
      </c>
    </row>
    <row r="108" spans="1:8" ht="23" customHeight="1" x14ac:dyDescent="0.2">
      <c r="A108" s="2">
        <v>47.5</v>
      </c>
      <c r="B108" s="5">
        <f t="shared" si="8"/>
        <v>10</v>
      </c>
      <c r="C108" s="5">
        <f t="shared" si="9"/>
        <v>27.5</v>
      </c>
      <c r="D108" s="5">
        <f t="shared" si="10"/>
        <v>10</v>
      </c>
      <c r="E108" s="6">
        <f>IF(A108&gt;$B$7,"",SUMPRODUCT(B108:D108,'P1 Lunch'!$B$5:$D$5))</f>
        <v>97.5</v>
      </c>
      <c r="F108" s="5">
        <f>IF(A108&gt;$B$7,"",SUMPRODUCT(B108:D108,'P1 Lunch'!$B$6:$D$6))</f>
        <v>105</v>
      </c>
      <c r="G108" s="5">
        <f>IF(A108&gt;$B$7,"",SUMPRODUCT(B108:D108,'P1 Lunch'!$B$7:$D$7))</f>
        <v>8</v>
      </c>
      <c r="H108" s="5" t="str">
        <f t="shared" si="11"/>
        <v>Feasible</v>
      </c>
    </row>
    <row r="109" spans="1:8" ht="23" customHeight="1" x14ac:dyDescent="0.2">
      <c r="A109" s="2">
        <v>48</v>
      </c>
      <c r="B109" s="5">
        <f t="shared" ref="B109:B140" si="12">IF(A109&gt;$B$7,"",IF(A109&lt;=$B$6,10,2*A109-85))</f>
        <v>11</v>
      </c>
      <c r="C109" s="5">
        <f t="shared" ref="C109:C144" si="13">IF(A109&gt;$B$7,"",IF(A109&lt;=$B$5,10,IF(A109&lt;=$B$6,A109-20,75-A109)))</f>
        <v>27</v>
      </c>
      <c r="D109" s="5">
        <f t="shared" ref="D109:D144" si="14">IF(A109&gt;$B$7,"",10)</f>
        <v>10</v>
      </c>
      <c r="E109" s="6">
        <f>IF(A109&gt;$B$7,"",SUMPRODUCT(B109:D109,'P1 Lunch'!$B$5:$D$5))</f>
        <v>101</v>
      </c>
      <c r="F109" s="5">
        <f>IF(A109&gt;$B$7,"",SUMPRODUCT(B109:D109,'P1 Lunch'!$B$6:$D$6))</f>
        <v>107</v>
      </c>
      <c r="G109" s="5">
        <f>IF(A109&gt;$B$7,"",SUMPRODUCT(B109:D109,'P1 Lunch'!$B$7:$D$7))</f>
        <v>8</v>
      </c>
      <c r="H109" s="5" t="str">
        <f t="shared" ref="H109:H144" si="15">IF(A109&gt;$B$7,"Infeasible","Feasible")</f>
        <v>Feasible</v>
      </c>
    </row>
    <row r="110" spans="1:8" ht="23" customHeight="1" x14ac:dyDescent="0.2">
      <c r="A110" s="2">
        <v>48.5</v>
      </c>
      <c r="B110" s="5">
        <f t="shared" si="12"/>
        <v>12</v>
      </c>
      <c r="C110" s="5">
        <f t="shared" si="13"/>
        <v>26.5</v>
      </c>
      <c r="D110" s="5">
        <f t="shared" si="14"/>
        <v>10</v>
      </c>
      <c r="E110" s="6">
        <f>IF(A110&gt;$B$7,"",SUMPRODUCT(B110:D110,'P1 Lunch'!$B$5:$D$5))</f>
        <v>104.5</v>
      </c>
      <c r="F110" s="5">
        <f>IF(A110&gt;$B$7,"",SUMPRODUCT(B110:D110,'P1 Lunch'!$B$6:$D$6))</f>
        <v>109</v>
      </c>
      <c r="G110" s="5">
        <f>IF(A110&gt;$B$7,"",SUMPRODUCT(B110:D110,'P1 Lunch'!$B$7:$D$7))</f>
        <v>8</v>
      </c>
      <c r="H110" s="5" t="str">
        <f t="shared" si="15"/>
        <v>Feasible</v>
      </c>
    </row>
    <row r="111" spans="1:8" ht="23" customHeight="1" x14ac:dyDescent="0.2">
      <c r="A111" s="2">
        <v>49</v>
      </c>
      <c r="B111" s="5">
        <f t="shared" si="12"/>
        <v>13</v>
      </c>
      <c r="C111" s="5">
        <f t="shared" si="13"/>
        <v>26</v>
      </c>
      <c r="D111" s="5">
        <f t="shared" si="14"/>
        <v>10</v>
      </c>
      <c r="E111" s="6">
        <f>IF(A111&gt;$B$7,"",SUMPRODUCT(B111:D111,'P1 Lunch'!$B$5:$D$5))</f>
        <v>108</v>
      </c>
      <c r="F111" s="5">
        <f>IF(A111&gt;$B$7,"",SUMPRODUCT(B111:D111,'P1 Lunch'!$B$6:$D$6))</f>
        <v>111</v>
      </c>
      <c r="G111" s="5">
        <f>IF(A111&gt;$B$7,"",SUMPRODUCT(B111:D111,'P1 Lunch'!$B$7:$D$7))</f>
        <v>8</v>
      </c>
      <c r="H111" s="5" t="str">
        <f t="shared" si="15"/>
        <v>Feasible</v>
      </c>
    </row>
    <row r="112" spans="1:8" ht="23" customHeight="1" x14ac:dyDescent="0.2">
      <c r="A112" s="2">
        <v>49.5</v>
      </c>
      <c r="B112" s="5">
        <f t="shared" si="12"/>
        <v>14</v>
      </c>
      <c r="C112" s="5">
        <f t="shared" si="13"/>
        <v>25.5</v>
      </c>
      <c r="D112" s="5">
        <f t="shared" si="14"/>
        <v>10</v>
      </c>
      <c r="E112" s="6">
        <f>IF(A112&gt;$B$7,"",SUMPRODUCT(B112:D112,'P1 Lunch'!$B$5:$D$5))</f>
        <v>111.5</v>
      </c>
      <c r="F112" s="5">
        <f>IF(A112&gt;$B$7,"",SUMPRODUCT(B112:D112,'P1 Lunch'!$B$6:$D$6))</f>
        <v>113</v>
      </c>
      <c r="G112" s="5">
        <f>IF(A112&gt;$B$7,"",SUMPRODUCT(B112:D112,'P1 Lunch'!$B$7:$D$7))</f>
        <v>8</v>
      </c>
      <c r="H112" s="5" t="str">
        <f t="shared" si="15"/>
        <v>Feasible</v>
      </c>
    </row>
    <row r="113" spans="1:8" ht="23" customHeight="1" x14ac:dyDescent="0.2">
      <c r="A113" s="2">
        <v>50</v>
      </c>
      <c r="B113" s="5">
        <f t="shared" si="12"/>
        <v>15</v>
      </c>
      <c r="C113" s="5">
        <f t="shared" si="13"/>
        <v>25</v>
      </c>
      <c r="D113" s="5">
        <f t="shared" si="14"/>
        <v>10</v>
      </c>
      <c r="E113" s="6">
        <f>IF(A113&gt;$B$7,"",SUMPRODUCT(B113:D113,'P1 Lunch'!$B$5:$D$5))</f>
        <v>115</v>
      </c>
      <c r="F113" s="5">
        <f>IF(A113&gt;$B$7,"",SUMPRODUCT(B113:D113,'P1 Lunch'!$B$6:$D$6))</f>
        <v>115</v>
      </c>
      <c r="G113" s="5">
        <f>IF(A113&gt;$B$7,"",SUMPRODUCT(B113:D113,'P1 Lunch'!$B$7:$D$7))</f>
        <v>8</v>
      </c>
      <c r="H113" s="5" t="str">
        <f t="shared" si="15"/>
        <v>Feasible</v>
      </c>
    </row>
    <row r="114" spans="1:8" ht="23" customHeight="1" x14ac:dyDescent="0.2">
      <c r="A114" s="2">
        <v>50.5</v>
      </c>
      <c r="B114" s="5">
        <f t="shared" si="12"/>
        <v>16</v>
      </c>
      <c r="C114" s="5">
        <f t="shared" si="13"/>
        <v>24.5</v>
      </c>
      <c r="D114" s="5">
        <f t="shared" si="14"/>
        <v>10</v>
      </c>
      <c r="E114" s="6">
        <f>IF(A114&gt;$B$7,"",SUMPRODUCT(B114:D114,'P1 Lunch'!$B$5:$D$5))</f>
        <v>118.5</v>
      </c>
      <c r="F114" s="5">
        <f>IF(A114&gt;$B$7,"",SUMPRODUCT(B114:D114,'P1 Lunch'!$B$6:$D$6))</f>
        <v>117</v>
      </c>
      <c r="G114" s="5">
        <f>IF(A114&gt;$B$7,"",SUMPRODUCT(B114:D114,'P1 Lunch'!$B$7:$D$7))</f>
        <v>8</v>
      </c>
      <c r="H114" s="5" t="str">
        <f t="shared" si="15"/>
        <v>Feasible</v>
      </c>
    </row>
    <row r="115" spans="1:8" ht="23" customHeight="1" x14ac:dyDescent="0.2">
      <c r="A115" s="2">
        <v>51</v>
      </c>
      <c r="B115" s="5">
        <f t="shared" si="12"/>
        <v>17</v>
      </c>
      <c r="C115" s="5">
        <f t="shared" si="13"/>
        <v>24</v>
      </c>
      <c r="D115" s="5">
        <f t="shared" si="14"/>
        <v>10</v>
      </c>
      <c r="E115" s="6">
        <f>IF(A115&gt;$B$7,"",SUMPRODUCT(B115:D115,'P1 Lunch'!$B$5:$D$5))</f>
        <v>122</v>
      </c>
      <c r="F115" s="5">
        <f>IF(A115&gt;$B$7,"",SUMPRODUCT(B115:D115,'P1 Lunch'!$B$6:$D$6))</f>
        <v>119</v>
      </c>
      <c r="G115" s="5">
        <f>IF(A115&gt;$B$7,"",SUMPRODUCT(B115:D115,'P1 Lunch'!$B$7:$D$7))</f>
        <v>8</v>
      </c>
      <c r="H115" s="5" t="str">
        <f t="shared" si="15"/>
        <v>Feasible</v>
      </c>
    </row>
    <row r="116" spans="1:8" ht="23" customHeight="1" x14ac:dyDescent="0.2">
      <c r="A116" s="2">
        <v>51.5</v>
      </c>
      <c r="B116" s="5">
        <f t="shared" si="12"/>
        <v>18</v>
      </c>
      <c r="C116" s="5">
        <f t="shared" si="13"/>
        <v>23.5</v>
      </c>
      <c r="D116" s="5">
        <f t="shared" si="14"/>
        <v>10</v>
      </c>
      <c r="E116" s="6">
        <f>IF(A116&gt;$B$7,"",SUMPRODUCT(B116:D116,'P1 Lunch'!$B$5:$D$5))</f>
        <v>125.5</v>
      </c>
      <c r="F116" s="5">
        <f>IF(A116&gt;$B$7,"",SUMPRODUCT(B116:D116,'P1 Lunch'!$B$6:$D$6))</f>
        <v>121</v>
      </c>
      <c r="G116" s="5">
        <f>IF(A116&gt;$B$7,"",SUMPRODUCT(B116:D116,'P1 Lunch'!$B$7:$D$7))</f>
        <v>8</v>
      </c>
      <c r="H116" s="5" t="str">
        <f t="shared" si="15"/>
        <v>Feasible</v>
      </c>
    </row>
    <row r="117" spans="1:8" ht="23" customHeight="1" x14ac:dyDescent="0.2">
      <c r="A117" s="2">
        <v>52</v>
      </c>
      <c r="B117" s="5">
        <f t="shared" si="12"/>
        <v>19</v>
      </c>
      <c r="C117" s="5">
        <f t="shared" si="13"/>
        <v>23</v>
      </c>
      <c r="D117" s="5">
        <f t="shared" si="14"/>
        <v>10</v>
      </c>
      <c r="E117" s="6">
        <f>IF(A117&gt;$B$7,"",SUMPRODUCT(B117:D117,'P1 Lunch'!$B$5:$D$5))</f>
        <v>129</v>
      </c>
      <c r="F117" s="5">
        <f>IF(A117&gt;$B$7,"",SUMPRODUCT(B117:D117,'P1 Lunch'!$B$6:$D$6))</f>
        <v>123</v>
      </c>
      <c r="G117" s="5">
        <f>IF(A117&gt;$B$7,"",SUMPRODUCT(B117:D117,'P1 Lunch'!$B$7:$D$7))</f>
        <v>8</v>
      </c>
      <c r="H117" s="5" t="str">
        <f t="shared" si="15"/>
        <v>Feasible</v>
      </c>
    </row>
    <row r="118" spans="1:8" ht="23" customHeight="1" x14ac:dyDescent="0.2">
      <c r="A118" s="2">
        <v>52.5</v>
      </c>
      <c r="B118" s="5">
        <f t="shared" si="12"/>
        <v>20</v>
      </c>
      <c r="C118" s="5">
        <f t="shared" si="13"/>
        <v>22.5</v>
      </c>
      <c r="D118" s="5">
        <f t="shared" si="14"/>
        <v>10</v>
      </c>
      <c r="E118" s="6">
        <f>IF(A118&gt;$B$7,"",SUMPRODUCT(B118:D118,'P1 Lunch'!$B$5:$D$5))</f>
        <v>132.5</v>
      </c>
      <c r="F118" s="5">
        <f>IF(A118&gt;$B$7,"",SUMPRODUCT(B118:D118,'P1 Lunch'!$B$6:$D$6))</f>
        <v>125</v>
      </c>
      <c r="G118" s="5">
        <f>IF(A118&gt;$B$7,"",SUMPRODUCT(B118:D118,'P1 Lunch'!$B$7:$D$7))</f>
        <v>8</v>
      </c>
      <c r="H118" s="5" t="str">
        <f t="shared" si="15"/>
        <v>Feasible</v>
      </c>
    </row>
    <row r="119" spans="1:8" ht="23" customHeight="1" x14ac:dyDescent="0.2">
      <c r="A119" s="2">
        <v>53</v>
      </c>
      <c r="B119" s="5">
        <f t="shared" si="12"/>
        <v>21</v>
      </c>
      <c r="C119" s="5">
        <f t="shared" si="13"/>
        <v>22</v>
      </c>
      <c r="D119" s="5">
        <f t="shared" si="14"/>
        <v>10</v>
      </c>
      <c r="E119" s="6">
        <f>IF(A119&gt;$B$7,"",SUMPRODUCT(B119:D119,'P1 Lunch'!$B$5:$D$5))</f>
        <v>136</v>
      </c>
      <c r="F119" s="5">
        <f>IF(A119&gt;$B$7,"",SUMPRODUCT(B119:D119,'P1 Lunch'!$B$6:$D$6))</f>
        <v>127</v>
      </c>
      <c r="G119" s="5">
        <f>IF(A119&gt;$B$7,"",SUMPRODUCT(B119:D119,'P1 Lunch'!$B$7:$D$7))</f>
        <v>8</v>
      </c>
      <c r="H119" s="5" t="str">
        <f t="shared" si="15"/>
        <v>Feasible</v>
      </c>
    </row>
    <row r="120" spans="1:8" ht="23" customHeight="1" x14ac:dyDescent="0.2">
      <c r="A120" s="2">
        <v>53.5</v>
      </c>
      <c r="B120" s="5">
        <f t="shared" si="12"/>
        <v>22</v>
      </c>
      <c r="C120" s="5">
        <f t="shared" si="13"/>
        <v>21.5</v>
      </c>
      <c r="D120" s="5">
        <f t="shared" si="14"/>
        <v>10</v>
      </c>
      <c r="E120" s="6">
        <f>IF(A120&gt;$B$7,"",SUMPRODUCT(B120:D120,'P1 Lunch'!$B$5:$D$5))</f>
        <v>139.5</v>
      </c>
      <c r="F120" s="5">
        <f>IF(A120&gt;$B$7,"",SUMPRODUCT(B120:D120,'P1 Lunch'!$B$6:$D$6))</f>
        <v>129</v>
      </c>
      <c r="G120" s="5">
        <f>IF(A120&gt;$B$7,"",SUMPRODUCT(B120:D120,'P1 Lunch'!$B$7:$D$7))</f>
        <v>8</v>
      </c>
      <c r="H120" s="5" t="str">
        <f t="shared" si="15"/>
        <v>Feasible</v>
      </c>
    </row>
    <row r="121" spans="1:8" ht="23" customHeight="1" x14ac:dyDescent="0.2">
      <c r="A121" s="2">
        <v>54</v>
      </c>
      <c r="B121" s="5">
        <f t="shared" si="12"/>
        <v>23</v>
      </c>
      <c r="C121" s="5">
        <f t="shared" si="13"/>
        <v>21</v>
      </c>
      <c r="D121" s="5">
        <f t="shared" si="14"/>
        <v>10</v>
      </c>
      <c r="E121" s="6">
        <f>IF(A121&gt;$B$7,"",SUMPRODUCT(B121:D121,'P1 Lunch'!$B$5:$D$5))</f>
        <v>143</v>
      </c>
      <c r="F121" s="5">
        <f>IF(A121&gt;$B$7,"",SUMPRODUCT(B121:D121,'P1 Lunch'!$B$6:$D$6))</f>
        <v>131</v>
      </c>
      <c r="G121" s="5">
        <f>IF(A121&gt;$B$7,"",SUMPRODUCT(B121:D121,'P1 Lunch'!$B$7:$D$7))</f>
        <v>8</v>
      </c>
      <c r="H121" s="5" t="str">
        <f t="shared" si="15"/>
        <v>Feasible</v>
      </c>
    </row>
    <row r="122" spans="1:8" ht="23" customHeight="1" x14ac:dyDescent="0.2">
      <c r="A122" s="2">
        <v>54.5</v>
      </c>
      <c r="B122" s="5">
        <f t="shared" si="12"/>
        <v>24</v>
      </c>
      <c r="C122" s="5">
        <f t="shared" si="13"/>
        <v>20.5</v>
      </c>
      <c r="D122" s="5">
        <f t="shared" si="14"/>
        <v>10</v>
      </c>
      <c r="E122" s="6">
        <f>IF(A122&gt;$B$7,"",SUMPRODUCT(B122:D122,'P1 Lunch'!$B$5:$D$5))</f>
        <v>146.5</v>
      </c>
      <c r="F122" s="5">
        <f>IF(A122&gt;$B$7,"",SUMPRODUCT(B122:D122,'P1 Lunch'!$B$6:$D$6))</f>
        <v>133</v>
      </c>
      <c r="G122" s="5">
        <f>IF(A122&gt;$B$7,"",SUMPRODUCT(B122:D122,'P1 Lunch'!$B$7:$D$7))</f>
        <v>8</v>
      </c>
      <c r="H122" s="5" t="str">
        <f t="shared" si="15"/>
        <v>Feasible</v>
      </c>
    </row>
    <row r="123" spans="1:8" ht="23" customHeight="1" x14ac:dyDescent="0.2">
      <c r="A123" s="2">
        <v>55</v>
      </c>
      <c r="B123" s="5">
        <f t="shared" si="12"/>
        <v>25</v>
      </c>
      <c r="C123" s="5">
        <f t="shared" si="13"/>
        <v>20</v>
      </c>
      <c r="D123" s="5">
        <f t="shared" si="14"/>
        <v>10</v>
      </c>
      <c r="E123" s="6">
        <f>IF(A123&gt;$B$7,"",SUMPRODUCT(B123:D123,'P1 Lunch'!$B$5:$D$5))</f>
        <v>150</v>
      </c>
      <c r="F123" s="5">
        <f>IF(A123&gt;$B$7,"",SUMPRODUCT(B123:D123,'P1 Lunch'!$B$6:$D$6))</f>
        <v>135</v>
      </c>
      <c r="G123" s="5">
        <f>IF(A123&gt;$B$7,"",SUMPRODUCT(B123:D123,'P1 Lunch'!$B$7:$D$7))</f>
        <v>8</v>
      </c>
      <c r="H123" s="5" t="str">
        <f t="shared" si="15"/>
        <v>Feasible</v>
      </c>
    </row>
    <row r="124" spans="1:8" ht="23" customHeight="1" x14ac:dyDescent="0.2">
      <c r="A124" s="2">
        <v>55.5</v>
      </c>
      <c r="B124" s="5">
        <f t="shared" si="12"/>
        <v>26</v>
      </c>
      <c r="C124" s="5">
        <f t="shared" si="13"/>
        <v>19.5</v>
      </c>
      <c r="D124" s="5">
        <f t="shared" si="14"/>
        <v>10</v>
      </c>
      <c r="E124" s="6">
        <f>IF(A124&gt;$B$7,"",SUMPRODUCT(B124:D124,'P1 Lunch'!$B$5:$D$5))</f>
        <v>153.5</v>
      </c>
      <c r="F124" s="5">
        <f>IF(A124&gt;$B$7,"",SUMPRODUCT(B124:D124,'P1 Lunch'!$B$6:$D$6))</f>
        <v>137</v>
      </c>
      <c r="G124" s="5">
        <f>IF(A124&gt;$B$7,"",SUMPRODUCT(B124:D124,'P1 Lunch'!$B$7:$D$7))</f>
        <v>8</v>
      </c>
      <c r="H124" s="5" t="str">
        <f t="shared" si="15"/>
        <v>Feasible</v>
      </c>
    </row>
    <row r="125" spans="1:8" ht="23" customHeight="1" x14ac:dyDescent="0.2">
      <c r="A125" s="2">
        <v>56</v>
      </c>
      <c r="B125" s="5">
        <f t="shared" si="12"/>
        <v>27</v>
      </c>
      <c r="C125" s="5">
        <f t="shared" si="13"/>
        <v>19</v>
      </c>
      <c r="D125" s="5">
        <f t="shared" si="14"/>
        <v>10</v>
      </c>
      <c r="E125" s="6">
        <f>IF(A125&gt;$B$7,"",SUMPRODUCT(B125:D125,'P1 Lunch'!$B$5:$D$5))</f>
        <v>157</v>
      </c>
      <c r="F125" s="5">
        <f>IF(A125&gt;$B$7,"",SUMPRODUCT(B125:D125,'P1 Lunch'!$B$6:$D$6))</f>
        <v>139</v>
      </c>
      <c r="G125" s="5">
        <f>IF(A125&gt;$B$7,"",SUMPRODUCT(B125:D125,'P1 Lunch'!$B$7:$D$7))</f>
        <v>8</v>
      </c>
      <c r="H125" s="5" t="str">
        <f t="shared" si="15"/>
        <v>Feasible</v>
      </c>
    </row>
    <row r="126" spans="1:8" ht="23" customHeight="1" x14ac:dyDescent="0.2">
      <c r="A126" s="2">
        <v>56.5</v>
      </c>
      <c r="B126" s="5">
        <f t="shared" si="12"/>
        <v>28</v>
      </c>
      <c r="C126" s="5">
        <f t="shared" si="13"/>
        <v>18.5</v>
      </c>
      <c r="D126" s="5">
        <f t="shared" si="14"/>
        <v>10</v>
      </c>
      <c r="E126" s="6">
        <f>IF(A126&gt;$B$7,"",SUMPRODUCT(B126:D126,'P1 Lunch'!$B$5:$D$5))</f>
        <v>160.5</v>
      </c>
      <c r="F126" s="5">
        <f>IF(A126&gt;$B$7,"",SUMPRODUCT(B126:D126,'P1 Lunch'!$B$6:$D$6))</f>
        <v>141</v>
      </c>
      <c r="G126" s="5">
        <f>IF(A126&gt;$B$7,"",SUMPRODUCT(B126:D126,'P1 Lunch'!$B$7:$D$7))</f>
        <v>8</v>
      </c>
      <c r="H126" s="5" t="str">
        <f t="shared" si="15"/>
        <v>Feasible</v>
      </c>
    </row>
    <row r="127" spans="1:8" ht="23" customHeight="1" x14ac:dyDescent="0.2">
      <c r="A127" s="2">
        <v>57</v>
      </c>
      <c r="B127" s="5">
        <f t="shared" si="12"/>
        <v>29</v>
      </c>
      <c r="C127" s="5">
        <f t="shared" si="13"/>
        <v>18</v>
      </c>
      <c r="D127" s="5">
        <f t="shared" si="14"/>
        <v>10</v>
      </c>
      <c r="E127" s="6">
        <f>IF(A127&gt;$B$7,"",SUMPRODUCT(B127:D127,'P1 Lunch'!$B$5:$D$5))</f>
        <v>164</v>
      </c>
      <c r="F127" s="5">
        <f>IF(A127&gt;$B$7,"",SUMPRODUCT(B127:D127,'P1 Lunch'!$B$6:$D$6))</f>
        <v>143</v>
      </c>
      <c r="G127" s="5">
        <f>IF(A127&gt;$B$7,"",SUMPRODUCT(B127:D127,'P1 Lunch'!$B$7:$D$7))</f>
        <v>8</v>
      </c>
      <c r="H127" s="5" t="str">
        <f t="shared" si="15"/>
        <v>Feasible</v>
      </c>
    </row>
    <row r="128" spans="1:8" ht="23" customHeight="1" x14ac:dyDescent="0.2">
      <c r="A128" s="2">
        <v>57.5</v>
      </c>
      <c r="B128" s="5">
        <f t="shared" si="12"/>
        <v>30</v>
      </c>
      <c r="C128" s="5">
        <f t="shared" si="13"/>
        <v>17.5</v>
      </c>
      <c r="D128" s="5">
        <f t="shared" si="14"/>
        <v>10</v>
      </c>
      <c r="E128" s="6">
        <f>IF(A128&gt;$B$7,"",SUMPRODUCT(B128:D128,'P1 Lunch'!$B$5:$D$5))</f>
        <v>167.5</v>
      </c>
      <c r="F128" s="5">
        <f>IF(A128&gt;$B$7,"",SUMPRODUCT(B128:D128,'P1 Lunch'!$B$6:$D$6))</f>
        <v>145</v>
      </c>
      <c r="G128" s="5">
        <f>IF(A128&gt;$B$7,"",SUMPRODUCT(B128:D128,'P1 Lunch'!$B$7:$D$7))</f>
        <v>8</v>
      </c>
      <c r="H128" s="5" t="str">
        <f t="shared" si="15"/>
        <v>Feasible</v>
      </c>
    </row>
    <row r="129" spans="1:8" ht="23" customHeight="1" x14ac:dyDescent="0.2">
      <c r="A129" s="2">
        <v>58</v>
      </c>
      <c r="B129" s="5">
        <f t="shared" si="12"/>
        <v>31</v>
      </c>
      <c r="C129" s="5">
        <f t="shared" si="13"/>
        <v>17</v>
      </c>
      <c r="D129" s="5">
        <f t="shared" si="14"/>
        <v>10</v>
      </c>
      <c r="E129" s="6">
        <f>IF(A129&gt;$B$7,"",SUMPRODUCT(B129:D129,'P1 Lunch'!$B$5:$D$5))</f>
        <v>171</v>
      </c>
      <c r="F129" s="5">
        <f>IF(A129&gt;$B$7,"",SUMPRODUCT(B129:D129,'P1 Lunch'!$B$6:$D$6))</f>
        <v>147</v>
      </c>
      <c r="G129" s="5">
        <f>IF(A129&gt;$B$7,"",SUMPRODUCT(B129:D129,'P1 Lunch'!$B$7:$D$7))</f>
        <v>8</v>
      </c>
      <c r="H129" s="5" t="str">
        <f t="shared" si="15"/>
        <v>Feasible</v>
      </c>
    </row>
    <row r="130" spans="1:8" ht="23" customHeight="1" x14ac:dyDescent="0.2">
      <c r="A130" s="2">
        <v>58.5</v>
      </c>
      <c r="B130" s="5">
        <f t="shared" si="12"/>
        <v>32</v>
      </c>
      <c r="C130" s="5">
        <f t="shared" si="13"/>
        <v>16.5</v>
      </c>
      <c r="D130" s="5">
        <f t="shared" si="14"/>
        <v>10</v>
      </c>
      <c r="E130" s="6">
        <f>IF(A130&gt;$B$7,"",SUMPRODUCT(B130:D130,'P1 Lunch'!$B$5:$D$5))</f>
        <v>174.5</v>
      </c>
      <c r="F130" s="5">
        <f>IF(A130&gt;$B$7,"",SUMPRODUCT(B130:D130,'P1 Lunch'!$B$6:$D$6))</f>
        <v>149</v>
      </c>
      <c r="G130" s="5">
        <f>IF(A130&gt;$B$7,"",SUMPRODUCT(B130:D130,'P1 Lunch'!$B$7:$D$7))</f>
        <v>8</v>
      </c>
      <c r="H130" s="5" t="str">
        <f t="shared" si="15"/>
        <v>Feasible</v>
      </c>
    </row>
    <row r="131" spans="1:8" ht="23" customHeight="1" x14ac:dyDescent="0.2">
      <c r="A131" s="2">
        <v>59</v>
      </c>
      <c r="B131" s="5">
        <f t="shared" si="12"/>
        <v>33</v>
      </c>
      <c r="C131" s="5">
        <f t="shared" si="13"/>
        <v>16</v>
      </c>
      <c r="D131" s="5">
        <f t="shared" si="14"/>
        <v>10</v>
      </c>
      <c r="E131" s="6">
        <f>IF(A131&gt;$B$7,"",SUMPRODUCT(B131:D131,'P1 Lunch'!$B$5:$D$5))</f>
        <v>178</v>
      </c>
      <c r="F131" s="5">
        <f>IF(A131&gt;$B$7,"",SUMPRODUCT(B131:D131,'P1 Lunch'!$B$6:$D$6))</f>
        <v>151</v>
      </c>
      <c r="G131" s="5">
        <f>IF(A131&gt;$B$7,"",SUMPRODUCT(B131:D131,'P1 Lunch'!$B$7:$D$7))</f>
        <v>8</v>
      </c>
      <c r="H131" s="5" t="str">
        <f t="shared" si="15"/>
        <v>Feasible</v>
      </c>
    </row>
    <row r="132" spans="1:8" ht="23" customHeight="1" x14ac:dyDescent="0.2">
      <c r="A132" s="2">
        <v>59.5</v>
      </c>
      <c r="B132" s="5">
        <f t="shared" si="12"/>
        <v>34</v>
      </c>
      <c r="C132" s="5">
        <f t="shared" si="13"/>
        <v>15.5</v>
      </c>
      <c r="D132" s="5">
        <f t="shared" si="14"/>
        <v>10</v>
      </c>
      <c r="E132" s="6">
        <f>IF(A132&gt;$B$7,"",SUMPRODUCT(B132:D132,'P1 Lunch'!$B$5:$D$5))</f>
        <v>181.5</v>
      </c>
      <c r="F132" s="5">
        <f>IF(A132&gt;$B$7,"",SUMPRODUCT(B132:D132,'P1 Lunch'!$B$6:$D$6))</f>
        <v>153</v>
      </c>
      <c r="G132" s="5">
        <f>IF(A132&gt;$B$7,"",SUMPRODUCT(B132:D132,'P1 Lunch'!$B$7:$D$7))</f>
        <v>8</v>
      </c>
      <c r="H132" s="5" t="str">
        <f t="shared" si="15"/>
        <v>Feasible</v>
      </c>
    </row>
    <row r="133" spans="1:8" ht="23" customHeight="1" x14ac:dyDescent="0.2">
      <c r="A133" s="2">
        <v>60</v>
      </c>
      <c r="B133" s="5">
        <f t="shared" si="12"/>
        <v>35</v>
      </c>
      <c r="C133" s="5">
        <f t="shared" si="13"/>
        <v>15</v>
      </c>
      <c r="D133" s="5">
        <f t="shared" si="14"/>
        <v>10</v>
      </c>
      <c r="E133" s="6">
        <f>IF(A133&gt;$B$7,"",SUMPRODUCT(B133:D133,'P1 Lunch'!$B$5:$D$5))</f>
        <v>185</v>
      </c>
      <c r="F133" s="5">
        <f>IF(A133&gt;$B$7,"",SUMPRODUCT(B133:D133,'P1 Lunch'!$B$6:$D$6))</f>
        <v>155</v>
      </c>
      <c r="G133" s="5">
        <f>IF(A133&gt;$B$7,"",SUMPRODUCT(B133:D133,'P1 Lunch'!$B$7:$D$7))</f>
        <v>8</v>
      </c>
      <c r="H133" s="5" t="str">
        <f t="shared" si="15"/>
        <v>Feasible</v>
      </c>
    </row>
    <row r="134" spans="1:8" ht="23" customHeight="1" x14ac:dyDescent="0.2">
      <c r="A134" s="2">
        <v>60.5</v>
      </c>
      <c r="B134" s="5">
        <f t="shared" si="12"/>
        <v>36</v>
      </c>
      <c r="C134" s="5">
        <f t="shared" si="13"/>
        <v>14.5</v>
      </c>
      <c r="D134" s="5">
        <f t="shared" si="14"/>
        <v>10</v>
      </c>
      <c r="E134" s="6">
        <f>IF(A134&gt;$B$7,"",SUMPRODUCT(B134:D134,'P1 Lunch'!$B$5:$D$5))</f>
        <v>188.5</v>
      </c>
      <c r="F134" s="5">
        <f>IF(A134&gt;$B$7,"",SUMPRODUCT(B134:D134,'P1 Lunch'!$B$6:$D$6))</f>
        <v>157</v>
      </c>
      <c r="G134" s="5">
        <f>IF(A134&gt;$B$7,"",SUMPRODUCT(B134:D134,'P1 Lunch'!$B$7:$D$7))</f>
        <v>8</v>
      </c>
      <c r="H134" s="5" t="str">
        <f t="shared" si="15"/>
        <v>Feasible</v>
      </c>
    </row>
    <row r="135" spans="1:8" ht="23" customHeight="1" x14ac:dyDescent="0.2">
      <c r="A135" s="2">
        <v>61</v>
      </c>
      <c r="B135" s="5">
        <f t="shared" si="12"/>
        <v>37</v>
      </c>
      <c r="C135" s="5">
        <f t="shared" si="13"/>
        <v>14</v>
      </c>
      <c r="D135" s="5">
        <f t="shared" si="14"/>
        <v>10</v>
      </c>
      <c r="E135" s="6">
        <f>IF(A135&gt;$B$7,"",SUMPRODUCT(B135:D135,'P1 Lunch'!$B$5:$D$5))</f>
        <v>192</v>
      </c>
      <c r="F135" s="5">
        <f>IF(A135&gt;$B$7,"",SUMPRODUCT(B135:D135,'P1 Lunch'!$B$6:$D$6))</f>
        <v>159</v>
      </c>
      <c r="G135" s="5">
        <f>IF(A135&gt;$B$7,"",SUMPRODUCT(B135:D135,'P1 Lunch'!$B$7:$D$7))</f>
        <v>8</v>
      </c>
      <c r="H135" s="5" t="str">
        <f t="shared" si="15"/>
        <v>Feasible</v>
      </c>
    </row>
    <row r="136" spans="1:8" ht="23" customHeight="1" x14ac:dyDescent="0.2">
      <c r="A136" s="2">
        <v>61.5</v>
      </c>
      <c r="B136" s="5">
        <f t="shared" si="12"/>
        <v>38</v>
      </c>
      <c r="C136" s="5">
        <f t="shared" si="13"/>
        <v>13.5</v>
      </c>
      <c r="D136" s="5">
        <f t="shared" si="14"/>
        <v>10</v>
      </c>
      <c r="E136" s="6">
        <f>IF(A136&gt;$B$7,"",SUMPRODUCT(B136:D136,'P1 Lunch'!$B$5:$D$5))</f>
        <v>195.5</v>
      </c>
      <c r="F136" s="5">
        <f>IF(A136&gt;$B$7,"",SUMPRODUCT(B136:D136,'P1 Lunch'!$B$6:$D$6))</f>
        <v>161</v>
      </c>
      <c r="G136" s="5">
        <f>IF(A136&gt;$B$7,"",SUMPRODUCT(B136:D136,'P1 Lunch'!$B$7:$D$7))</f>
        <v>8</v>
      </c>
      <c r="H136" s="5" t="str">
        <f t="shared" si="15"/>
        <v>Feasible</v>
      </c>
    </row>
    <row r="137" spans="1:8" ht="23" customHeight="1" x14ac:dyDescent="0.2">
      <c r="A137" s="2">
        <v>62</v>
      </c>
      <c r="B137" s="5">
        <f t="shared" si="12"/>
        <v>39</v>
      </c>
      <c r="C137" s="5">
        <f t="shared" si="13"/>
        <v>13</v>
      </c>
      <c r="D137" s="5">
        <f t="shared" si="14"/>
        <v>10</v>
      </c>
      <c r="E137" s="6">
        <f>IF(A137&gt;$B$7,"",SUMPRODUCT(B137:D137,'P1 Lunch'!$B$5:$D$5))</f>
        <v>199</v>
      </c>
      <c r="F137" s="5">
        <f>IF(A137&gt;$B$7,"",SUMPRODUCT(B137:D137,'P1 Lunch'!$B$6:$D$6))</f>
        <v>163</v>
      </c>
      <c r="G137" s="5">
        <f>IF(A137&gt;$B$7,"",SUMPRODUCT(B137:D137,'P1 Lunch'!$B$7:$D$7))</f>
        <v>8</v>
      </c>
      <c r="H137" s="5" t="str">
        <f t="shared" si="15"/>
        <v>Feasible</v>
      </c>
    </row>
    <row r="138" spans="1:8" ht="23" customHeight="1" x14ac:dyDescent="0.2">
      <c r="A138" s="2">
        <v>62.5</v>
      </c>
      <c r="B138" s="5">
        <f t="shared" si="12"/>
        <v>40</v>
      </c>
      <c r="C138" s="5">
        <f t="shared" si="13"/>
        <v>12.5</v>
      </c>
      <c r="D138" s="5">
        <f t="shared" si="14"/>
        <v>10</v>
      </c>
      <c r="E138" s="6">
        <f>IF(A138&gt;$B$7,"",SUMPRODUCT(B138:D138,'P1 Lunch'!$B$5:$D$5))</f>
        <v>202.5</v>
      </c>
      <c r="F138" s="5">
        <f>IF(A138&gt;$B$7,"",SUMPRODUCT(B138:D138,'P1 Lunch'!$B$6:$D$6))</f>
        <v>165</v>
      </c>
      <c r="G138" s="5">
        <f>IF(A138&gt;$B$7,"",SUMPRODUCT(B138:D138,'P1 Lunch'!$B$7:$D$7))</f>
        <v>8</v>
      </c>
      <c r="H138" s="5" t="str">
        <f t="shared" si="15"/>
        <v>Feasible</v>
      </c>
    </row>
    <row r="139" spans="1:8" ht="23" customHeight="1" x14ac:dyDescent="0.2">
      <c r="A139" s="2">
        <v>63</v>
      </c>
      <c r="B139" s="5">
        <f t="shared" si="12"/>
        <v>41</v>
      </c>
      <c r="C139" s="5">
        <f t="shared" si="13"/>
        <v>12</v>
      </c>
      <c r="D139" s="5">
        <f t="shared" si="14"/>
        <v>10</v>
      </c>
      <c r="E139" s="6">
        <f>IF(A139&gt;$B$7,"",SUMPRODUCT(B139:D139,'P1 Lunch'!$B$5:$D$5))</f>
        <v>206</v>
      </c>
      <c r="F139" s="5">
        <f>IF(A139&gt;$B$7,"",SUMPRODUCT(B139:D139,'P1 Lunch'!$B$6:$D$6))</f>
        <v>167</v>
      </c>
      <c r="G139" s="5">
        <f>IF(A139&gt;$B$7,"",SUMPRODUCT(B139:D139,'P1 Lunch'!$B$7:$D$7))</f>
        <v>8</v>
      </c>
      <c r="H139" s="5" t="str">
        <f t="shared" si="15"/>
        <v>Feasible</v>
      </c>
    </row>
    <row r="140" spans="1:8" ht="23" customHeight="1" x14ac:dyDescent="0.2">
      <c r="A140" s="2">
        <v>63.5</v>
      </c>
      <c r="B140" s="5">
        <f t="shared" si="12"/>
        <v>42</v>
      </c>
      <c r="C140" s="5">
        <f t="shared" si="13"/>
        <v>11.5</v>
      </c>
      <c r="D140" s="5">
        <f t="shared" si="14"/>
        <v>10</v>
      </c>
      <c r="E140" s="6">
        <f>IF(A140&gt;$B$7,"",SUMPRODUCT(B140:D140,'P1 Lunch'!$B$5:$D$5))</f>
        <v>209.5</v>
      </c>
      <c r="F140" s="5">
        <f>IF(A140&gt;$B$7,"",SUMPRODUCT(B140:D140,'P1 Lunch'!$B$6:$D$6))</f>
        <v>169</v>
      </c>
      <c r="G140" s="5">
        <f>IF(A140&gt;$B$7,"",SUMPRODUCT(B140:D140,'P1 Lunch'!$B$7:$D$7))</f>
        <v>8</v>
      </c>
      <c r="H140" s="5" t="str">
        <f t="shared" si="15"/>
        <v>Feasible</v>
      </c>
    </row>
    <row r="141" spans="1:8" ht="23" customHeight="1" x14ac:dyDescent="0.2">
      <c r="A141" s="2">
        <v>64</v>
      </c>
      <c r="B141" s="5">
        <f t="shared" ref="B141:B144" si="16">IF(A141&gt;$B$7,"",IF(A141&lt;=$B$6,10,2*A141-85))</f>
        <v>43</v>
      </c>
      <c r="C141" s="5">
        <f t="shared" si="13"/>
        <v>11</v>
      </c>
      <c r="D141" s="5">
        <f t="shared" si="14"/>
        <v>10</v>
      </c>
      <c r="E141" s="6">
        <f>IF(A141&gt;$B$7,"",SUMPRODUCT(B141:D141,'P1 Lunch'!$B$5:$D$5))</f>
        <v>213</v>
      </c>
      <c r="F141" s="5">
        <f>IF(A141&gt;$B$7,"",SUMPRODUCT(B141:D141,'P1 Lunch'!$B$6:$D$6))</f>
        <v>171</v>
      </c>
      <c r="G141" s="5">
        <f>IF(A141&gt;$B$7,"",SUMPRODUCT(B141:D141,'P1 Lunch'!$B$7:$D$7))</f>
        <v>8</v>
      </c>
      <c r="H141" s="5" t="str">
        <f t="shared" si="15"/>
        <v>Feasible</v>
      </c>
    </row>
    <row r="142" spans="1:8" ht="23" customHeight="1" x14ac:dyDescent="0.2">
      <c r="A142" s="2">
        <v>64.5</v>
      </c>
      <c r="B142" s="5">
        <f t="shared" si="16"/>
        <v>44</v>
      </c>
      <c r="C142" s="5">
        <f t="shared" si="13"/>
        <v>10.5</v>
      </c>
      <c r="D142" s="5">
        <f t="shared" si="14"/>
        <v>10</v>
      </c>
      <c r="E142" s="6">
        <f>IF(A142&gt;$B$7,"",SUMPRODUCT(B142:D142,'P1 Lunch'!$B$5:$D$5))</f>
        <v>216.5</v>
      </c>
      <c r="F142" s="5">
        <f>IF(A142&gt;$B$7,"",SUMPRODUCT(B142:D142,'P1 Lunch'!$B$6:$D$6))</f>
        <v>173</v>
      </c>
      <c r="G142" s="5">
        <f>IF(A142&gt;$B$7,"",SUMPRODUCT(B142:D142,'P1 Lunch'!$B$7:$D$7))</f>
        <v>8</v>
      </c>
      <c r="H142" s="5" t="str">
        <f t="shared" si="15"/>
        <v>Feasible</v>
      </c>
    </row>
    <row r="143" spans="1:8" ht="23" customHeight="1" x14ac:dyDescent="0.2">
      <c r="A143" s="2">
        <v>65</v>
      </c>
      <c r="B143" s="5">
        <f t="shared" si="16"/>
        <v>45</v>
      </c>
      <c r="C143" s="5">
        <f t="shared" si="13"/>
        <v>10</v>
      </c>
      <c r="D143" s="5">
        <f t="shared" si="14"/>
        <v>10</v>
      </c>
      <c r="E143" s="6">
        <f>IF(A143&gt;$B$7,"",SUMPRODUCT(B143:D143,'P1 Lunch'!$B$5:$D$5))</f>
        <v>220</v>
      </c>
      <c r="F143" s="5">
        <f>IF(A143&gt;$B$7,"",SUMPRODUCT(B143:D143,'P1 Lunch'!$B$6:$D$6))</f>
        <v>175</v>
      </c>
      <c r="G143" s="5">
        <f>IF(A143&gt;$B$7,"",SUMPRODUCT(B143:D143,'P1 Lunch'!$B$7:$D$7))</f>
        <v>8</v>
      </c>
      <c r="H143" s="5" t="str">
        <f t="shared" si="15"/>
        <v>Feasible</v>
      </c>
    </row>
    <row r="144" spans="1:8" ht="23" customHeight="1" x14ac:dyDescent="0.2">
      <c r="A144" s="2">
        <v>66</v>
      </c>
      <c r="B144" s="5" t="str">
        <f t="shared" si="16"/>
        <v/>
      </c>
      <c r="C144" s="5" t="str">
        <f t="shared" si="13"/>
        <v/>
      </c>
      <c r="D144" s="5" t="str">
        <f t="shared" si="14"/>
        <v/>
      </c>
      <c r="E144" s="6" t="str">
        <f>IF(A144&gt;$B$7,"",SUMPRODUCT(B144:D144,'P1 Lunch'!$B$5:$D$5))</f>
        <v/>
      </c>
      <c r="F144" s="5" t="str">
        <f>IF(A144&gt;$B$7,"",SUMPRODUCT(B144:D144,'P1 Lunch'!$B$6:$D$6))</f>
        <v/>
      </c>
      <c r="G144" s="5" t="str">
        <f>IF(A144&gt;$B$7,"",SUMPRODUCT(B144:D144,'P1 Lunch'!$B$7:$D$7))</f>
        <v/>
      </c>
      <c r="H144" s="5" t="str">
        <f t="shared" si="15"/>
        <v>Infeasible</v>
      </c>
    </row>
  </sheetData>
  <mergeCells count="4">
    <mergeCell ref="A9:H9"/>
    <mergeCell ref="A2:H2"/>
    <mergeCell ref="A10:H10"/>
    <mergeCell ref="A1:H1"/>
  </mergeCells>
  <printOptions horizontalCentered="1" headings="1"/>
  <pageMargins left="0.75" right="0.75" top="1" bottom="1" header="0.5" footer="0.5"/>
  <pageSetup paperSize="9" fitToHeight="0" orientation="landscape"/>
  <headerFooter>
    <oddFooter>&amp;CDMU HW2 | mnagersh | Page &amp;P</oddFooter>
  </headerFooter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Right="0"/>
    <pageSetUpPr fitToPage="1"/>
  </sheetPr>
  <dimension ref="A1:H1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2" sqref="A2:H2"/>
    </sheetView>
  </sheetViews>
  <sheetFormatPr baseColWidth="10" defaultColWidth="8.83203125" defaultRowHeight="15" x14ac:dyDescent="0.2"/>
  <cols>
    <col min="1" max="2" width="16" customWidth="1"/>
    <col min="3" max="3" width="20" customWidth="1"/>
    <col min="4" max="8" width="22" customWidth="1"/>
  </cols>
  <sheetData>
    <row r="1" spans="1:8" ht="29" customHeight="1" x14ac:dyDescent="0.3">
      <c r="A1" s="15" t="s">
        <v>99</v>
      </c>
      <c r="B1" s="16"/>
      <c r="C1" s="16"/>
      <c r="D1" s="16"/>
      <c r="E1" s="16"/>
      <c r="F1" s="16"/>
      <c r="G1" s="16"/>
      <c r="H1" s="16"/>
    </row>
    <row r="2" spans="1:8" x14ac:dyDescent="0.2">
      <c r="A2" s="12"/>
      <c r="B2" s="10"/>
      <c r="C2" s="10"/>
      <c r="D2" s="10"/>
      <c r="E2" s="10"/>
      <c r="F2" s="10"/>
      <c r="G2" s="10"/>
      <c r="H2" s="10"/>
    </row>
    <row r="4" spans="1:8" ht="30" customHeight="1" x14ac:dyDescent="0.2">
      <c r="A4" s="19" t="s">
        <v>100</v>
      </c>
      <c r="B4" s="19" t="s">
        <v>101</v>
      </c>
      <c r="C4" s="19" t="s">
        <v>102</v>
      </c>
    </row>
    <row r="5" spans="1:8" ht="58" customHeight="1" x14ac:dyDescent="0.2">
      <c r="A5" s="1" t="s">
        <v>103</v>
      </c>
      <c r="B5" s="1" t="s">
        <v>104</v>
      </c>
      <c r="C5" s="14" t="s">
        <v>105</v>
      </c>
      <c r="D5" s="10"/>
      <c r="E5" s="10"/>
      <c r="F5" s="10"/>
      <c r="G5" s="10"/>
      <c r="H5" s="10"/>
    </row>
    <row r="6" spans="1:8" ht="58" customHeight="1" x14ac:dyDescent="0.2">
      <c r="A6" s="1" t="s">
        <v>106</v>
      </c>
      <c r="B6" s="1" t="s">
        <v>107</v>
      </c>
      <c r="C6" s="14" t="s">
        <v>108</v>
      </c>
      <c r="D6" s="10"/>
      <c r="E6" s="10"/>
      <c r="F6" s="10"/>
      <c r="G6" s="10"/>
      <c r="H6" s="10"/>
    </row>
    <row r="7" spans="1:8" ht="58" customHeight="1" x14ac:dyDescent="0.2">
      <c r="A7" s="1" t="s">
        <v>109</v>
      </c>
      <c r="B7" s="1" t="s">
        <v>107</v>
      </c>
      <c r="C7" s="14" t="s">
        <v>110</v>
      </c>
      <c r="D7" s="10"/>
      <c r="E7" s="10"/>
      <c r="F7" s="10"/>
      <c r="G7" s="10"/>
      <c r="H7" s="10"/>
    </row>
    <row r="8" spans="1:8" ht="58" customHeight="1" x14ac:dyDescent="0.2">
      <c r="A8" s="1" t="s">
        <v>111</v>
      </c>
      <c r="B8" s="1" t="s">
        <v>107</v>
      </c>
      <c r="C8" s="14" t="s">
        <v>112</v>
      </c>
      <c r="D8" s="10"/>
      <c r="E8" s="10"/>
      <c r="F8" s="10"/>
      <c r="G8" s="10"/>
      <c r="H8" s="10"/>
    </row>
    <row r="9" spans="1:8" ht="58" customHeight="1" x14ac:dyDescent="0.2">
      <c r="A9" s="1" t="s">
        <v>113</v>
      </c>
      <c r="B9" s="1" t="s">
        <v>107</v>
      </c>
      <c r="C9" s="14" t="s">
        <v>114</v>
      </c>
      <c r="D9" s="10"/>
      <c r="E9" s="10"/>
      <c r="F9" s="10"/>
      <c r="G9" s="10"/>
      <c r="H9" s="10"/>
    </row>
    <row r="10" spans="1:8" ht="58" customHeight="1" x14ac:dyDescent="0.2">
      <c r="A10" s="1" t="s">
        <v>115</v>
      </c>
      <c r="B10" s="1" t="s">
        <v>104</v>
      </c>
      <c r="C10" s="14" t="s">
        <v>116</v>
      </c>
      <c r="D10" s="10"/>
      <c r="E10" s="10"/>
      <c r="F10" s="10"/>
      <c r="G10" s="10"/>
      <c r="H10" s="10"/>
    </row>
    <row r="13" spans="1:8" ht="30" customHeight="1" x14ac:dyDescent="0.2">
      <c r="A13" s="19" t="s">
        <v>117</v>
      </c>
      <c r="B13" s="19" t="s">
        <v>74</v>
      </c>
      <c r="C13" s="19" t="s">
        <v>75</v>
      </c>
      <c r="D13" s="19" t="s">
        <v>76</v>
      </c>
      <c r="E13" s="19" t="s">
        <v>70</v>
      </c>
      <c r="F13" s="19" t="s">
        <v>71</v>
      </c>
      <c r="G13" s="19" t="s">
        <v>6</v>
      </c>
    </row>
    <row r="14" spans="1:8" ht="23" customHeight="1" x14ac:dyDescent="0.2">
      <c r="A14" s="1" t="s">
        <v>118</v>
      </c>
      <c r="B14" s="2">
        <v>10</v>
      </c>
      <c r="C14" s="2">
        <v>5</v>
      </c>
      <c r="D14" s="2">
        <v>10</v>
      </c>
      <c r="E14" s="2">
        <v>2</v>
      </c>
      <c r="F14" s="2">
        <v>4</v>
      </c>
      <c r="G14" s="2">
        <v>5</v>
      </c>
    </row>
    <row r="15" spans="1:8" ht="23" customHeight="1" x14ac:dyDescent="0.2">
      <c r="A15" s="1" t="s">
        <v>119</v>
      </c>
      <c r="B15" s="2">
        <v>8</v>
      </c>
      <c r="C15" s="2">
        <v>3</v>
      </c>
      <c r="D15" s="2">
        <v>8</v>
      </c>
      <c r="E15" s="2">
        <v>1</v>
      </c>
      <c r="F15" s="2">
        <v>5</v>
      </c>
      <c r="G15" s="2">
        <v>4</v>
      </c>
    </row>
    <row r="17" spans="1:8" ht="23" customHeight="1" x14ac:dyDescent="0.2">
      <c r="A17" s="1" t="s">
        <v>120</v>
      </c>
      <c r="B17" s="7">
        <f>1/E14+1/E15</f>
        <v>1.5</v>
      </c>
    </row>
    <row r="19" spans="1:8" ht="45" customHeight="1" x14ac:dyDescent="0.2">
      <c r="A19" s="11" t="s">
        <v>121</v>
      </c>
      <c r="B19" s="10"/>
      <c r="C19" s="10"/>
      <c r="D19" s="10"/>
      <c r="E19" s="10"/>
      <c r="F19" s="10"/>
      <c r="G19" s="10"/>
      <c r="H19" s="10"/>
    </row>
  </sheetData>
  <mergeCells count="9">
    <mergeCell ref="A19:H19"/>
    <mergeCell ref="A1:H1"/>
    <mergeCell ref="C7:H7"/>
    <mergeCell ref="C6:H6"/>
    <mergeCell ref="C10:H10"/>
    <mergeCell ref="C5:H5"/>
    <mergeCell ref="A2:H2"/>
    <mergeCell ref="C9:H9"/>
    <mergeCell ref="C8:H8"/>
  </mergeCells>
  <printOptions horizontalCentered="1" headings="1"/>
  <pageMargins left="0.75" right="0.75" top="1" bottom="1" header="0.5" footer="0.5"/>
  <pageSetup paperSize="9" fitToHeight="0" orientation="landscape"/>
  <headerFooter>
    <oddFooter>&amp;CDMU HW2 | mnagersh | Page &amp;P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Right="0"/>
    <pageSetUpPr fitToPage="1"/>
  </sheetPr>
  <dimension ref="A1:L5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2" sqref="A2:L2"/>
    </sheetView>
  </sheetViews>
  <sheetFormatPr baseColWidth="10" defaultColWidth="8.83203125" defaultRowHeight="15" x14ac:dyDescent="0.2"/>
  <cols>
    <col min="1" max="1" width="23" customWidth="1"/>
    <col min="2" max="2" width="19" customWidth="1"/>
    <col min="3" max="3" width="17" customWidth="1"/>
    <col min="4" max="6" width="16" customWidth="1"/>
    <col min="7" max="7" width="18" customWidth="1"/>
    <col min="8" max="9" width="17" customWidth="1"/>
    <col min="10" max="10" width="18" customWidth="1"/>
    <col min="11" max="11" width="17" customWidth="1"/>
    <col min="12" max="12" width="18" customWidth="1"/>
  </cols>
  <sheetData>
    <row r="1" spans="1:12" ht="29" customHeight="1" x14ac:dyDescent="0.3">
      <c r="A1" s="15" t="s">
        <v>122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x14ac:dyDescent="0.2">
      <c r="A2" s="12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ht="25" customHeight="1" x14ac:dyDescent="0.2">
      <c r="A3" s="11" t="s">
        <v>123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5" spans="1:12" ht="30" customHeight="1" x14ac:dyDescent="0.2">
      <c r="A5" s="19" t="s">
        <v>124</v>
      </c>
      <c r="B5" s="19" t="s">
        <v>125</v>
      </c>
      <c r="C5" s="19" t="s">
        <v>79</v>
      </c>
      <c r="D5" s="19" t="s">
        <v>126</v>
      </c>
      <c r="E5" s="19" t="s">
        <v>127</v>
      </c>
      <c r="F5" s="19" t="s">
        <v>128</v>
      </c>
      <c r="G5" s="19" t="s">
        <v>129</v>
      </c>
      <c r="H5" s="19" t="s">
        <v>130</v>
      </c>
      <c r="I5" s="19" t="s">
        <v>131</v>
      </c>
      <c r="J5" s="19" t="s">
        <v>132</v>
      </c>
      <c r="K5" s="19" t="s">
        <v>133</v>
      </c>
      <c r="L5" s="19" t="s">
        <v>134</v>
      </c>
    </row>
    <row r="6" spans="1:12" ht="23" customHeight="1" x14ac:dyDescent="0.2">
      <c r="A6" s="1" t="s">
        <v>135</v>
      </c>
      <c r="B6" s="1" t="s">
        <v>136</v>
      </c>
      <c r="C6" s="2">
        <v>100</v>
      </c>
      <c r="D6" s="3">
        <v>50</v>
      </c>
      <c r="E6" s="3">
        <v>50</v>
      </c>
      <c r="F6" s="3">
        <v>0</v>
      </c>
      <c r="G6" s="5">
        <f t="shared" ref="G6:G14" si="0">SUM(D6:F6)</f>
        <v>100</v>
      </c>
      <c r="H6" s="5">
        <f t="shared" ref="H6:H14" si="1">G6-C6</f>
        <v>0</v>
      </c>
      <c r="I6" s="5">
        <f>$D$19+$D$25</f>
        <v>150</v>
      </c>
      <c r="J6" s="5">
        <f>$D$20+$D$28</f>
        <v>180</v>
      </c>
      <c r="K6" s="2">
        <v>120</v>
      </c>
      <c r="L6" s="5">
        <f t="shared" ref="L6:L14" si="2">SUMPRODUCT(D6:F6,I6:K6)</f>
        <v>16500</v>
      </c>
    </row>
    <row r="7" spans="1:12" ht="23" customHeight="1" x14ac:dyDescent="0.2">
      <c r="A7" s="1" t="s">
        <v>135</v>
      </c>
      <c r="B7" s="1" t="s">
        <v>137</v>
      </c>
      <c r="C7" s="2">
        <v>60</v>
      </c>
      <c r="D7" s="3">
        <v>60</v>
      </c>
      <c r="E7" s="3">
        <v>0</v>
      </c>
      <c r="F7" s="3">
        <v>0</v>
      </c>
      <c r="G7" s="5">
        <f t="shared" si="0"/>
        <v>60</v>
      </c>
      <c r="H7" s="5">
        <f t="shared" si="1"/>
        <v>0</v>
      </c>
      <c r="I7" s="5">
        <f>$D$19+$D$26</f>
        <v>140</v>
      </c>
      <c r="J7" s="5">
        <f>$D$20+$D$29</f>
        <v>170</v>
      </c>
      <c r="K7" s="2">
        <v>80</v>
      </c>
      <c r="L7" s="5">
        <f t="shared" si="2"/>
        <v>8400</v>
      </c>
    </row>
    <row r="8" spans="1:12" ht="23" customHeight="1" x14ac:dyDescent="0.2">
      <c r="A8" s="1" t="s">
        <v>135</v>
      </c>
      <c r="B8" s="1" t="s">
        <v>138</v>
      </c>
      <c r="C8" s="2">
        <v>40</v>
      </c>
      <c r="D8" s="3">
        <v>40</v>
      </c>
      <c r="E8" s="3">
        <v>0</v>
      </c>
      <c r="F8" s="3">
        <v>0</v>
      </c>
      <c r="G8" s="5">
        <f t="shared" si="0"/>
        <v>40</v>
      </c>
      <c r="H8" s="5">
        <f t="shared" si="1"/>
        <v>0</v>
      </c>
      <c r="I8" s="5">
        <f>$D$19+$D$27</f>
        <v>130</v>
      </c>
      <c r="J8" s="5">
        <f>$D$20+$D$30</f>
        <v>200</v>
      </c>
      <c r="K8" s="2">
        <v>70</v>
      </c>
      <c r="L8" s="5">
        <f t="shared" si="2"/>
        <v>5200</v>
      </c>
    </row>
    <row r="9" spans="1:12" ht="23" customHeight="1" x14ac:dyDescent="0.2">
      <c r="A9" s="1" t="s">
        <v>139</v>
      </c>
      <c r="B9" s="1" t="s">
        <v>136</v>
      </c>
      <c r="C9" s="2">
        <v>50</v>
      </c>
      <c r="D9" s="3">
        <v>0</v>
      </c>
      <c r="E9" s="3">
        <v>50</v>
      </c>
      <c r="F9" s="3">
        <v>0</v>
      </c>
      <c r="G9" s="5">
        <f t="shared" si="0"/>
        <v>50</v>
      </c>
      <c r="H9" s="5">
        <f t="shared" si="1"/>
        <v>0</v>
      </c>
      <c r="I9" s="5">
        <f>$D$21+$D$25</f>
        <v>160</v>
      </c>
      <c r="J9" s="5">
        <f>$D$22+$D$28</f>
        <v>170</v>
      </c>
      <c r="K9" s="2">
        <v>110</v>
      </c>
      <c r="L9" s="5">
        <f t="shared" si="2"/>
        <v>8500</v>
      </c>
    </row>
    <row r="10" spans="1:12" ht="23" customHeight="1" x14ac:dyDescent="0.2">
      <c r="A10" s="1" t="s">
        <v>139</v>
      </c>
      <c r="B10" s="1" t="s">
        <v>137</v>
      </c>
      <c r="C10" s="2">
        <v>50</v>
      </c>
      <c r="D10" s="3">
        <v>50</v>
      </c>
      <c r="E10" s="3">
        <v>0</v>
      </c>
      <c r="F10" s="3">
        <v>0</v>
      </c>
      <c r="G10" s="5">
        <f t="shared" si="0"/>
        <v>50</v>
      </c>
      <c r="H10" s="5">
        <f t="shared" si="1"/>
        <v>0</v>
      </c>
      <c r="I10" s="5">
        <f>$D$21+$D$26</f>
        <v>150</v>
      </c>
      <c r="J10" s="5">
        <f>$D$22+$D$29</f>
        <v>160</v>
      </c>
      <c r="K10" s="2">
        <v>75</v>
      </c>
      <c r="L10" s="5">
        <f t="shared" si="2"/>
        <v>7500</v>
      </c>
    </row>
    <row r="11" spans="1:12" ht="23" customHeight="1" x14ac:dyDescent="0.2">
      <c r="A11" s="1" t="s">
        <v>139</v>
      </c>
      <c r="B11" s="1" t="s">
        <v>138</v>
      </c>
      <c r="C11" s="2">
        <v>50</v>
      </c>
      <c r="D11" s="3">
        <v>50</v>
      </c>
      <c r="E11" s="3">
        <v>0</v>
      </c>
      <c r="F11" s="3">
        <v>0</v>
      </c>
      <c r="G11" s="5">
        <f t="shared" si="0"/>
        <v>50</v>
      </c>
      <c r="H11" s="5">
        <f t="shared" si="1"/>
        <v>0</v>
      </c>
      <c r="I11" s="5">
        <f>$D$21+$D$27</f>
        <v>140</v>
      </c>
      <c r="J11" s="5">
        <f>$D$22+$D$30</f>
        <v>190</v>
      </c>
      <c r="K11" s="2">
        <v>65</v>
      </c>
      <c r="L11" s="5">
        <f t="shared" si="2"/>
        <v>7000</v>
      </c>
    </row>
    <row r="12" spans="1:12" ht="23" customHeight="1" x14ac:dyDescent="0.2">
      <c r="A12" s="1" t="s">
        <v>140</v>
      </c>
      <c r="B12" s="1" t="s">
        <v>136</v>
      </c>
      <c r="C12" s="2">
        <v>0</v>
      </c>
      <c r="D12" s="3">
        <v>0</v>
      </c>
      <c r="E12" s="3">
        <v>0</v>
      </c>
      <c r="F12" s="3">
        <v>0</v>
      </c>
      <c r="G12" s="5">
        <f t="shared" si="0"/>
        <v>0</v>
      </c>
      <c r="H12" s="5">
        <f t="shared" si="1"/>
        <v>0</v>
      </c>
      <c r="I12" s="5">
        <f>$D$23+$D$25</f>
        <v>170</v>
      </c>
      <c r="J12" s="5">
        <f>$D$24+$D$28</f>
        <v>160</v>
      </c>
      <c r="K12" s="2">
        <v>100</v>
      </c>
      <c r="L12" s="5">
        <f t="shared" si="2"/>
        <v>0</v>
      </c>
    </row>
    <row r="13" spans="1:12" ht="23" customHeight="1" x14ac:dyDescent="0.2">
      <c r="A13" s="1" t="s">
        <v>140</v>
      </c>
      <c r="B13" s="1" t="s">
        <v>137</v>
      </c>
      <c r="C13" s="2">
        <v>40</v>
      </c>
      <c r="D13" s="3">
        <v>10</v>
      </c>
      <c r="E13" s="3">
        <v>30</v>
      </c>
      <c r="F13" s="3">
        <v>0</v>
      </c>
      <c r="G13" s="5">
        <f t="shared" si="0"/>
        <v>40</v>
      </c>
      <c r="H13" s="5">
        <f t="shared" si="1"/>
        <v>0</v>
      </c>
      <c r="I13" s="5">
        <f>$D$23+$D$26</f>
        <v>160</v>
      </c>
      <c r="J13" s="5">
        <f>$D$24+$D$29</f>
        <v>150</v>
      </c>
      <c r="K13" s="2">
        <v>70</v>
      </c>
      <c r="L13" s="5">
        <f t="shared" si="2"/>
        <v>6100</v>
      </c>
    </row>
    <row r="14" spans="1:12" ht="23" customHeight="1" x14ac:dyDescent="0.2">
      <c r="A14" s="1" t="s">
        <v>140</v>
      </c>
      <c r="B14" s="1" t="s">
        <v>138</v>
      </c>
      <c r="C14" s="2">
        <v>60</v>
      </c>
      <c r="D14" s="3">
        <v>10</v>
      </c>
      <c r="E14" s="3">
        <v>50</v>
      </c>
      <c r="F14" s="3">
        <v>0</v>
      </c>
      <c r="G14" s="5">
        <f t="shared" si="0"/>
        <v>60</v>
      </c>
      <c r="H14" s="5">
        <f t="shared" si="1"/>
        <v>0</v>
      </c>
      <c r="I14" s="5">
        <f>$D$23+$D$27</f>
        <v>150</v>
      </c>
      <c r="J14" s="5">
        <f>$D$24+$D$30</f>
        <v>180</v>
      </c>
      <c r="K14" s="2">
        <v>60</v>
      </c>
      <c r="L14" s="5">
        <f t="shared" si="2"/>
        <v>10500</v>
      </c>
    </row>
    <row r="16" spans="1:12" ht="23" customHeight="1" x14ac:dyDescent="0.2">
      <c r="A16" s="1" t="s">
        <v>11</v>
      </c>
      <c r="B16" s="8">
        <f>SUM(L6:L14)</f>
        <v>69700</v>
      </c>
    </row>
    <row r="18" spans="1:6" ht="30" customHeight="1" x14ac:dyDescent="0.2">
      <c r="A18" s="19" t="s">
        <v>141</v>
      </c>
      <c r="B18" s="19" t="s">
        <v>142</v>
      </c>
      <c r="C18" s="19" t="s">
        <v>143</v>
      </c>
      <c r="D18" s="19" t="s">
        <v>6</v>
      </c>
      <c r="E18" s="19" t="s">
        <v>144</v>
      </c>
      <c r="F18" s="19" t="s">
        <v>16</v>
      </c>
    </row>
    <row r="19" spans="1:6" ht="23" customHeight="1" x14ac:dyDescent="0.2">
      <c r="A19" s="1" t="s">
        <v>135</v>
      </c>
      <c r="B19" s="1" t="s">
        <v>145</v>
      </c>
      <c r="C19" s="2">
        <v>150</v>
      </c>
      <c r="D19" s="2">
        <v>50</v>
      </c>
      <c r="E19" s="5">
        <f>SUM(D6:D8)</f>
        <v>150</v>
      </c>
      <c r="F19" s="5">
        <f t="shared" ref="F19:F30" si="3">C19-E19</f>
        <v>0</v>
      </c>
    </row>
    <row r="20" spans="1:6" ht="23" customHeight="1" x14ac:dyDescent="0.2">
      <c r="A20" s="1" t="s">
        <v>135</v>
      </c>
      <c r="B20" s="1" t="s">
        <v>146</v>
      </c>
      <c r="C20" s="2">
        <v>100</v>
      </c>
      <c r="D20" s="2">
        <v>100</v>
      </c>
      <c r="E20" s="5">
        <f>SUM(E6:E8)</f>
        <v>50</v>
      </c>
      <c r="F20" s="5">
        <f t="shared" si="3"/>
        <v>50</v>
      </c>
    </row>
    <row r="21" spans="1:6" ht="23" customHeight="1" x14ac:dyDescent="0.2">
      <c r="A21" s="1" t="s">
        <v>139</v>
      </c>
      <c r="B21" s="1" t="s">
        <v>145</v>
      </c>
      <c r="C21" s="2">
        <v>100</v>
      </c>
      <c r="D21" s="2">
        <v>60</v>
      </c>
      <c r="E21" s="5">
        <f>SUM(D9:D11)</f>
        <v>100</v>
      </c>
      <c r="F21" s="5">
        <f t="shared" si="3"/>
        <v>0</v>
      </c>
    </row>
    <row r="22" spans="1:6" ht="23" customHeight="1" x14ac:dyDescent="0.2">
      <c r="A22" s="1" t="s">
        <v>139</v>
      </c>
      <c r="B22" s="1" t="s">
        <v>146</v>
      </c>
      <c r="C22" s="2">
        <v>100</v>
      </c>
      <c r="D22" s="2">
        <v>90</v>
      </c>
      <c r="E22" s="5">
        <f>SUM(E9:E11)</f>
        <v>50</v>
      </c>
      <c r="F22" s="5">
        <f t="shared" si="3"/>
        <v>50</v>
      </c>
    </row>
    <row r="23" spans="1:6" ht="23" customHeight="1" x14ac:dyDescent="0.2">
      <c r="A23" s="1" t="s">
        <v>140</v>
      </c>
      <c r="B23" s="1" t="s">
        <v>145</v>
      </c>
      <c r="C23" s="2">
        <v>100</v>
      </c>
      <c r="D23" s="2">
        <v>70</v>
      </c>
      <c r="E23" s="5">
        <f>SUM(D12:D14)</f>
        <v>20</v>
      </c>
      <c r="F23" s="5">
        <f t="shared" si="3"/>
        <v>80</v>
      </c>
    </row>
    <row r="24" spans="1:6" ht="23" customHeight="1" x14ac:dyDescent="0.2">
      <c r="A24" s="1" t="s">
        <v>140</v>
      </c>
      <c r="B24" s="1" t="s">
        <v>146</v>
      </c>
      <c r="C24" s="2">
        <v>80</v>
      </c>
      <c r="D24" s="2">
        <v>80</v>
      </c>
      <c r="E24" s="5">
        <f>SUM(E12:E14)</f>
        <v>80</v>
      </c>
      <c r="F24" s="5">
        <f t="shared" si="3"/>
        <v>0</v>
      </c>
    </row>
    <row r="25" spans="1:6" ht="23" customHeight="1" x14ac:dyDescent="0.2">
      <c r="A25" s="1" t="s">
        <v>145</v>
      </c>
      <c r="B25" s="1" t="s">
        <v>136</v>
      </c>
      <c r="C25" s="2">
        <v>150</v>
      </c>
      <c r="D25" s="2">
        <v>100</v>
      </c>
      <c r="E25" s="5">
        <f>D6+D9+D12</f>
        <v>50</v>
      </c>
      <c r="F25" s="5">
        <f t="shared" si="3"/>
        <v>100</v>
      </c>
    </row>
    <row r="26" spans="1:6" ht="23" customHeight="1" x14ac:dyDescent="0.2">
      <c r="A26" s="1" t="s">
        <v>145</v>
      </c>
      <c r="B26" s="1" t="s">
        <v>137</v>
      </c>
      <c r="C26" s="2">
        <v>120</v>
      </c>
      <c r="D26" s="2">
        <v>90</v>
      </c>
      <c r="E26" s="5">
        <f>D7+D10+D13</f>
        <v>120</v>
      </c>
      <c r="F26" s="5">
        <f t="shared" si="3"/>
        <v>0</v>
      </c>
    </row>
    <row r="27" spans="1:6" ht="23" customHeight="1" x14ac:dyDescent="0.2">
      <c r="A27" s="1" t="s">
        <v>145</v>
      </c>
      <c r="B27" s="1" t="s">
        <v>138</v>
      </c>
      <c r="C27" s="2">
        <v>100</v>
      </c>
      <c r="D27" s="2">
        <v>80</v>
      </c>
      <c r="E27" s="5">
        <f>D8+D11+D14</f>
        <v>100</v>
      </c>
      <c r="F27" s="5">
        <f t="shared" si="3"/>
        <v>0</v>
      </c>
    </row>
    <row r="28" spans="1:6" ht="23" customHeight="1" x14ac:dyDescent="0.2">
      <c r="A28" s="1" t="s">
        <v>146</v>
      </c>
      <c r="B28" s="1" t="s">
        <v>136</v>
      </c>
      <c r="C28" s="2">
        <v>120</v>
      </c>
      <c r="D28" s="2">
        <v>80</v>
      </c>
      <c r="E28" s="5">
        <f>E6+E9+E12</f>
        <v>100</v>
      </c>
      <c r="F28" s="5">
        <f t="shared" si="3"/>
        <v>20</v>
      </c>
    </row>
    <row r="29" spans="1:6" ht="23" customHeight="1" x14ac:dyDescent="0.2">
      <c r="A29" s="1" t="s">
        <v>146</v>
      </c>
      <c r="B29" s="1" t="s">
        <v>137</v>
      </c>
      <c r="C29" s="2">
        <v>150</v>
      </c>
      <c r="D29" s="2">
        <v>70</v>
      </c>
      <c r="E29" s="5">
        <f>E7+E10+E13</f>
        <v>30</v>
      </c>
      <c r="F29" s="5">
        <f t="shared" si="3"/>
        <v>120</v>
      </c>
    </row>
    <row r="30" spans="1:6" ht="23" customHeight="1" x14ac:dyDescent="0.2">
      <c r="A30" s="1" t="s">
        <v>146</v>
      </c>
      <c r="B30" s="1" t="s">
        <v>138</v>
      </c>
      <c r="C30" s="2">
        <v>120</v>
      </c>
      <c r="D30" s="2">
        <v>100</v>
      </c>
      <c r="E30" s="5">
        <f>E8+E11+E14</f>
        <v>50</v>
      </c>
      <c r="F30" s="5">
        <f t="shared" si="3"/>
        <v>70</v>
      </c>
    </row>
    <row r="32" spans="1:6" ht="30" customHeight="1" x14ac:dyDescent="0.2">
      <c r="A32" s="19" t="s">
        <v>147</v>
      </c>
      <c r="B32" s="19" t="s">
        <v>125</v>
      </c>
      <c r="C32" s="19" t="s">
        <v>148</v>
      </c>
      <c r="D32" s="19" t="s">
        <v>144</v>
      </c>
      <c r="E32" s="19" t="s">
        <v>16</v>
      </c>
    </row>
    <row r="33" spans="1:12" ht="23" customHeight="1" x14ac:dyDescent="0.2">
      <c r="A33" s="1" t="s">
        <v>135</v>
      </c>
      <c r="B33" s="1" t="s">
        <v>136</v>
      </c>
      <c r="C33" s="2">
        <v>0</v>
      </c>
      <c r="D33" s="5">
        <f t="shared" ref="D33:D41" si="4">F6</f>
        <v>0</v>
      </c>
      <c r="E33" s="5">
        <f t="shared" ref="E33:E41" si="5">C33-D33</f>
        <v>0</v>
      </c>
    </row>
    <row r="34" spans="1:12" ht="23" customHeight="1" x14ac:dyDescent="0.2">
      <c r="A34" s="1" t="s">
        <v>135</v>
      </c>
      <c r="B34" s="1" t="s">
        <v>137</v>
      </c>
      <c r="C34" s="2">
        <v>0</v>
      </c>
      <c r="D34" s="5">
        <f t="shared" si="4"/>
        <v>0</v>
      </c>
      <c r="E34" s="5">
        <f t="shared" si="5"/>
        <v>0</v>
      </c>
    </row>
    <row r="35" spans="1:12" ht="23" customHeight="1" x14ac:dyDescent="0.2">
      <c r="A35" s="1" t="s">
        <v>135</v>
      </c>
      <c r="B35" s="1" t="s">
        <v>138</v>
      </c>
      <c r="C35" s="2">
        <v>0</v>
      </c>
      <c r="D35" s="5">
        <f t="shared" si="4"/>
        <v>0</v>
      </c>
      <c r="E35" s="5">
        <f t="shared" si="5"/>
        <v>0</v>
      </c>
    </row>
    <row r="36" spans="1:12" ht="23" customHeight="1" x14ac:dyDescent="0.2">
      <c r="A36" s="1" t="s">
        <v>139</v>
      </c>
      <c r="B36" s="1" t="s">
        <v>136</v>
      </c>
      <c r="C36" s="2">
        <v>0</v>
      </c>
      <c r="D36" s="5">
        <f t="shared" si="4"/>
        <v>0</v>
      </c>
      <c r="E36" s="5">
        <f t="shared" si="5"/>
        <v>0</v>
      </c>
    </row>
    <row r="37" spans="1:12" ht="23" customHeight="1" x14ac:dyDescent="0.2">
      <c r="A37" s="1" t="s">
        <v>139</v>
      </c>
      <c r="B37" s="1" t="s">
        <v>137</v>
      </c>
      <c r="C37" s="2">
        <v>0</v>
      </c>
      <c r="D37" s="5">
        <f t="shared" si="4"/>
        <v>0</v>
      </c>
      <c r="E37" s="5">
        <f t="shared" si="5"/>
        <v>0</v>
      </c>
    </row>
    <row r="38" spans="1:12" ht="23" customHeight="1" x14ac:dyDescent="0.2">
      <c r="A38" s="1" t="s">
        <v>139</v>
      </c>
      <c r="B38" s="1" t="s">
        <v>138</v>
      </c>
      <c r="C38" s="2">
        <v>0</v>
      </c>
      <c r="D38" s="5">
        <f t="shared" si="4"/>
        <v>0</v>
      </c>
      <c r="E38" s="5">
        <f t="shared" si="5"/>
        <v>0</v>
      </c>
    </row>
    <row r="39" spans="1:12" ht="23" customHeight="1" x14ac:dyDescent="0.2">
      <c r="A39" s="1" t="s">
        <v>140</v>
      </c>
      <c r="B39" s="1" t="s">
        <v>136</v>
      </c>
      <c r="C39" s="2">
        <v>0</v>
      </c>
      <c r="D39" s="5">
        <f t="shared" si="4"/>
        <v>0</v>
      </c>
      <c r="E39" s="5">
        <f t="shared" si="5"/>
        <v>0</v>
      </c>
    </row>
    <row r="40" spans="1:12" ht="23" customHeight="1" x14ac:dyDescent="0.2">
      <c r="A40" s="1" t="s">
        <v>140</v>
      </c>
      <c r="B40" s="1" t="s">
        <v>137</v>
      </c>
      <c r="C40" s="2">
        <v>0</v>
      </c>
      <c r="D40" s="5">
        <f t="shared" si="4"/>
        <v>0</v>
      </c>
      <c r="E40" s="5">
        <f t="shared" si="5"/>
        <v>0</v>
      </c>
    </row>
    <row r="41" spans="1:12" ht="23" customHeight="1" x14ac:dyDescent="0.2">
      <c r="A41" s="1" t="s">
        <v>140</v>
      </c>
      <c r="B41" s="1" t="s">
        <v>138</v>
      </c>
      <c r="C41" s="2">
        <v>0</v>
      </c>
      <c r="D41" s="5">
        <f t="shared" si="4"/>
        <v>0</v>
      </c>
      <c r="E41" s="5">
        <f t="shared" si="5"/>
        <v>0</v>
      </c>
    </row>
    <row r="43" spans="1:12" ht="30" customHeight="1" x14ac:dyDescent="0.2">
      <c r="A43" s="19" t="s">
        <v>25</v>
      </c>
      <c r="B43" s="19" t="s">
        <v>26</v>
      </c>
    </row>
    <row r="44" spans="1:12" ht="25" customHeight="1" x14ac:dyDescent="0.2">
      <c r="A44" s="11" t="s">
        <v>149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27" customHeight="1" x14ac:dyDescent="0.2">
      <c r="A45" s="11" t="s">
        <v>150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30" customHeight="1" x14ac:dyDescent="0.2">
      <c r="A46" s="11" t="s">
        <v>151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8" spans="1:12" ht="30" customHeight="1" x14ac:dyDescent="0.2">
      <c r="A48" s="19" t="s">
        <v>30</v>
      </c>
      <c r="B48" s="19" t="s">
        <v>31</v>
      </c>
    </row>
    <row r="49" spans="1:12" ht="29" customHeight="1" x14ac:dyDescent="0.2">
      <c r="A49" t="s">
        <v>152</v>
      </c>
      <c r="B49" s="13" t="s">
        <v>153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29" customHeight="1" x14ac:dyDescent="0.2">
      <c r="A50" t="s">
        <v>154</v>
      </c>
      <c r="B50" s="13" t="s">
        <v>155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29" customHeight="1" x14ac:dyDescent="0.2">
      <c r="A51" t="s">
        <v>156</v>
      </c>
      <c r="B51" s="13" t="s">
        <v>157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29" customHeight="1" x14ac:dyDescent="0.2">
      <c r="A52" t="s">
        <v>158</v>
      </c>
      <c r="B52" s="13" t="s">
        <v>159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29" customHeight="1" x14ac:dyDescent="0.2">
      <c r="A53" t="s">
        <v>38</v>
      </c>
      <c r="B53" s="13" t="s">
        <v>160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29" customHeight="1" x14ac:dyDescent="0.2">
      <c r="A54" t="s">
        <v>161</v>
      </c>
      <c r="B54" s="13" t="s">
        <v>162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29" customHeight="1" x14ac:dyDescent="0.2">
      <c r="A55" t="s">
        <v>163</v>
      </c>
      <c r="B55" s="13" t="s">
        <v>164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29" customHeight="1" x14ac:dyDescent="0.2">
      <c r="A56" t="s">
        <v>165</v>
      </c>
      <c r="B56" s="13" t="s">
        <v>166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29" customHeight="1" x14ac:dyDescent="0.2">
      <c r="A57" t="s">
        <v>167</v>
      </c>
      <c r="B57" s="13" t="s">
        <v>168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</sheetData>
  <mergeCells count="15">
    <mergeCell ref="A1:L1"/>
    <mergeCell ref="A45:L45"/>
    <mergeCell ref="A46:L46"/>
    <mergeCell ref="B51:L51"/>
    <mergeCell ref="B49:L49"/>
    <mergeCell ref="B50:L50"/>
    <mergeCell ref="A2:L2"/>
    <mergeCell ref="B55:L55"/>
    <mergeCell ref="A44:L44"/>
    <mergeCell ref="A3:L3"/>
    <mergeCell ref="B56:L56"/>
    <mergeCell ref="B57:L57"/>
    <mergeCell ref="B54:L54"/>
    <mergeCell ref="B53:L53"/>
    <mergeCell ref="B52:L52"/>
  </mergeCells>
  <printOptions horizontalCentered="1" headings="1"/>
  <pageMargins left="0.75" right="0.75" top="1" bottom="1" header="0.5" footer="0.5"/>
  <pageSetup paperSize="9" fitToHeight="0" orientation="landscape"/>
  <headerFooter>
    <oddFooter>&amp;CDMU HW2 | mnagersh | Page &amp;P</oddFooter>
  </headerFooter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Right="0"/>
    <pageSetUpPr fitToPage="1"/>
  </sheetPr>
  <dimension ref="A1:L5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2" sqref="A2:L2"/>
    </sheetView>
  </sheetViews>
  <sheetFormatPr baseColWidth="10" defaultColWidth="8.83203125" defaultRowHeight="15" x14ac:dyDescent="0.2"/>
  <cols>
    <col min="1" max="1" width="23" customWidth="1"/>
    <col min="2" max="2" width="19" customWidth="1"/>
    <col min="3" max="3" width="17" customWidth="1"/>
    <col min="4" max="6" width="16" customWidth="1"/>
    <col min="7" max="7" width="18" customWidth="1"/>
    <col min="8" max="9" width="17" customWidth="1"/>
    <col min="10" max="10" width="18" customWidth="1"/>
    <col min="11" max="11" width="17" customWidth="1"/>
    <col min="12" max="12" width="18" customWidth="1"/>
  </cols>
  <sheetData>
    <row r="1" spans="1:12" ht="29" customHeight="1" x14ac:dyDescent="0.3">
      <c r="A1" s="15" t="s">
        <v>169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x14ac:dyDescent="0.2">
      <c r="A2" s="12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ht="25" customHeight="1" x14ac:dyDescent="0.2">
      <c r="A3" s="11" t="s">
        <v>170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5" spans="1:12" ht="30" customHeight="1" x14ac:dyDescent="0.2">
      <c r="A5" s="19" t="s">
        <v>124</v>
      </c>
      <c r="B5" s="19" t="s">
        <v>125</v>
      </c>
      <c r="C5" s="19" t="s">
        <v>79</v>
      </c>
      <c r="D5" s="19" t="s">
        <v>126</v>
      </c>
      <c r="E5" s="19" t="s">
        <v>127</v>
      </c>
      <c r="F5" s="19" t="s">
        <v>128</v>
      </c>
      <c r="G5" s="19" t="s">
        <v>129</v>
      </c>
      <c r="H5" s="19" t="s">
        <v>130</v>
      </c>
      <c r="I5" s="19" t="s">
        <v>131</v>
      </c>
      <c r="J5" s="19" t="s">
        <v>132</v>
      </c>
      <c r="K5" s="19" t="s">
        <v>133</v>
      </c>
      <c r="L5" s="19" t="s">
        <v>134</v>
      </c>
    </row>
    <row r="6" spans="1:12" ht="23" customHeight="1" x14ac:dyDescent="0.2">
      <c r="A6" s="1" t="s">
        <v>135</v>
      </c>
      <c r="B6" s="1" t="s">
        <v>136</v>
      </c>
      <c r="C6" s="2">
        <v>100</v>
      </c>
      <c r="D6" s="3">
        <v>0</v>
      </c>
      <c r="E6" s="3">
        <v>0</v>
      </c>
      <c r="F6" s="3">
        <v>100</v>
      </c>
      <c r="G6" s="5">
        <f t="shared" ref="G6:G14" si="0">SUM(D6:F6)</f>
        <v>100</v>
      </c>
      <c r="H6" s="5">
        <f t="shared" ref="H6:H14" si="1">G6-C6</f>
        <v>0</v>
      </c>
      <c r="I6" s="5">
        <f>$D$19+$D$25</f>
        <v>150</v>
      </c>
      <c r="J6" s="5">
        <f>$D$20+$D$28</f>
        <v>180</v>
      </c>
      <c r="K6" s="2">
        <v>120</v>
      </c>
      <c r="L6" s="5">
        <f t="shared" ref="L6:L14" si="2">SUMPRODUCT(D6:F6,I6:K6)</f>
        <v>12000</v>
      </c>
    </row>
    <row r="7" spans="1:12" ht="23" customHeight="1" x14ac:dyDescent="0.2">
      <c r="A7" s="1" t="s">
        <v>135</v>
      </c>
      <c r="B7" s="1" t="s">
        <v>137</v>
      </c>
      <c r="C7" s="2">
        <v>60</v>
      </c>
      <c r="D7" s="3">
        <v>0</v>
      </c>
      <c r="E7" s="3">
        <v>0</v>
      </c>
      <c r="F7" s="3">
        <v>60</v>
      </c>
      <c r="G7" s="5">
        <f t="shared" si="0"/>
        <v>60</v>
      </c>
      <c r="H7" s="5">
        <f t="shared" si="1"/>
        <v>0</v>
      </c>
      <c r="I7" s="5">
        <f>$D$19+$D$26</f>
        <v>140</v>
      </c>
      <c r="J7" s="5">
        <f>$D$20+$D$29</f>
        <v>170</v>
      </c>
      <c r="K7" s="2">
        <v>80</v>
      </c>
      <c r="L7" s="5">
        <f t="shared" si="2"/>
        <v>4800</v>
      </c>
    </row>
    <row r="8" spans="1:12" ht="23" customHeight="1" x14ac:dyDescent="0.2">
      <c r="A8" s="1" t="s">
        <v>135</v>
      </c>
      <c r="B8" s="1" t="s">
        <v>138</v>
      </c>
      <c r="C8" s="2">
        <v>40</v>
      </c>
      <c r="D8" s="3">
        <v>0</v>
      </c>
      <c r="E8" s="3">
        <v>0</v>
      </c>
      <c r="F8" s="3">
        <v>40</v>
      </c>
      <c r="G8" s="5">
        <f t="shared" si="0"/>
        <v>40</v>
      </c>
      <c r="H8" s="5">
        <f t="shared" si="1"/>
        <v>0</v>
      </c>
      <c r="I8" s="5">
        <f>$D$19+$D$27</f>
        <v>130</v>
      </c>
      <c r="J8" s="5">
        <f>$D$20+$D$30</f>
        <v>200</v>
      </c>
      <c r="K8" s="2">
        <v>70</v>
      </c>
      <c r="L8" s="5">
        <f t="shared" si="2"/>
        <v>2800</v>
      </c>
    </row>
    <row r="9" spans="1:12" ht="23" customHeight="1" x14ac:dyDescent="0.2">
      <c r="A9" s="1" t="s">
        <v>139</v>
      </c>
      <c r="B9" s="1" t="s">
        <v>136</v>
      </c>
      <c r="C9" s="2">
        <v>50</v>
      </c>
      <c r="D9" s="3">
        <v>0</v>
      </c>
      <c r="E9" s="3">
        <v>50</v>
      </c>
      <c r="F9" s="3">
        <v>0</v>
      </c>
      <c r="G9" s="5">
        <f t="shared" si="0"/>
        <v>50</v>
      </c>
      <c r="H9" s="5">
        <f t="shared" si="1"/>
        <v>0</v>
      </c>
      <c r="I9" s="5">
        <f>$D$21+$D$25</f>
        <v>160</v>
      </c>
      <c r="J9" s="5">
        <f>$D$22+$D$28</f>
        <v>170</v>
      </c>
      <c r="K9" s="2">
        <v>110</v>
      </c>
      <c r="L9" s="5">
        <f t="shared" si="2"/>
        <v>8500</v>
      </c>
    </row>
    <row r="10" spans="1:12" ht="23" customHeight="1" x14ac:dyDescent="0.2">
      <c r="A10" s="1" t="s">
        <v>139</v>
      </c>
      <c r="B10" s="1" t="s">
        <v>137</v>
      </c>
      <c r="C10" s="2">
        <v>50</v>
      </c>
      <c r="D10" s="3">
        <v>50</v>
      </c>
      <c r="E10" s="3">
        <v>0</v>
      </c>
      <c r="F10" s="3">
        <v>0</v>
      </c>
      <c r="G10" s="5">
        <f t="shared" si="0"/>
        <v>50</v>
      </c>
      <c r="H10" s="5">
        <f t="shared" si="1"/>
        <v>0</v>
      </c>
      <c r="I10" s="5">
        <f>$D$21+$D$26</f>
        <v>150</v>
      </c>
      <c r="J10" s="5">
        <f>$D$22+$D$29</f>
        <v>160</v>
      </c>
      <c r="K10" s="2">
        <v>75</v>
      </c>
      <c r="L10" s="5">
        <f t="shared" si="2"/>
        <v>7500</v>
      </c>
    </row>
    <row r="11" spans="1:12" ht="23" customHeight="1" x14ac:dyDescent="0.2">
      <c r="A11" s="1" t="s">
        <v>139</v>
      </c>
      <c r="B11" s="1" t="s">
        <v>138</v>
      </c>
      <c r="C11" s="2">
        <v>50</v>
      </c>
      <c r="D11" s="3">
        <v>50</v>
      </c>
      <c r="E11" s="3">
        <v>0</v>
      </c>
      <c r="F11" s="3">
        <v>0</v>
      </c>
      <c r="G11" s="5">
        <f t="shared" si="0"/>
        <v>50</v>
      </c>
      <c r="H11" s="5">
        <f t="shared" si="1"/>
        <v>0</v>
      </c>
      <c r="I11" s="5">
        <f>$D$21+$D$27</f>
        <v>140</v>
      </c>
      <c r="J11" s="5">
        <f>$D$22+$D$30</f>
        <v>190</v>
      </c>
      <c r="K11" s="2">
        <v>65</v>
      </c>
      <c r="L11" s="5">
        <f t="shared" si="2"/>
        <v>7000</v>
      </c>
    </row>
    <row r="12" spans="1:12" ht="23" customHeight="1" x14ac:dyDescent="0.2">
      <c r="A12" s="1" t="s">
        <v>140</v>
      </c>
      <c r="B12" s="1" t="s">
        <v>136</v>
      </c>
      <c r="C12" s="2">
        <v>0</v>
      </c>
      <c r="D12" s="3">
        <v>0</v>
      </c>
      <c r="E12" s="3">
        <v>0</v>
      </c>
      <c r="F12" s="3">
        <v>0</v>
      </c>
      <c r="G12" s="5">
        <f t="shared" si="0"/>
        <v>0</v>
      </c>
      <c r="H12" s="5">
        <f t="shared" si="1"/>
        <v>0</v>
      </c>
      <c r="I12" s="5">
        <f>$D$23+$D$25</f>
        <v>170</v>
      </c>
      <c r="J12" s="5">
        <f>$D$24+$D$28</f>
        <v>160</v>
      </c>
      <c r="K12" s="2">
        <v>100</v>
      </c>
      <c r="L12" s="5">
        <f t="shared" si="2"/>
        <v>0</v>
      </c>
    </row>
    <row r="13" spans="1:12" ht="23" customHeight="1" x14ac:dyDescent="0.2">
      <c r="A13" s="1" t="s">
        <v>140</v>
      </c>
      <c r="B13" s="1" t="s">
        <v>137</v>
      </c>
      <c r="C13" s="2">
        <v>40</v>
      </c>
      <c r="D13" s="3">
        <v>0</v>
      </c>
      <c r="E13" s="3">
        <v>40</v>
      </c>
      <c r="F13" s="3">
        <v>0</v>
      </c>
      <c r="G13" s="5">
        <f t="shared" si="0"/>
        <v>40</v>
      </c>
      <c r="H13" s="5">
        <f t="shared" si="1"/>
        <v>0</v>
      </c>
      <c r="I13" s="5">
        <f>$D$23+$D$26</f>
        <v>160</v>
      </c>
      <c r="J13" s="5">
        <f>$D$24+$D$29</f>
        <v>150</v>
      </c>
      <c r="K13" s="2">
        <v>70</v>
      </c>
      <c r="L13" s="5">
        <f t="shared" si="2"/>
        <v>6000</v>
      </c>
    </row>
    <row r="14" spans="1:12" ht="23" customHeight="1" x14ac:dyDescent="0.2">
      <c r="A14" s="1" t="s">
        <v>140</v>
      </c>
      <c r="B14" s="1" t="s">
        <v>138</v>
      </c>
      <c r="C14" s="2">
        <v>60</v>
      </c>
      <c r="D14" s="3">
        <v>50</v>
      </c>
      <c r="E14" s="3">
        <v>10</v>
      </c>
      <c r="F14" s="3">
        <v>0</v>
      </c>
      <c r="G14" s="5">
        <f t="shared" si="0"/>
        <v>60</v>
      </c>
      <c r="H14" s="5">
        <f t="shared" si="1"/>
        <v>0</v>
      </c>
      <c r="I14" s="5">
        <f>$D$23+$D$27</f>
        <v>150</v>
      </c>
      <c r="J14" s="5">
        <f>$D$24+$D$30</f>
        <v>180</v>
      </c>
      <c r="K14" s="2">
        <v>60</v>
      </c>
      <c r="L14" s="5">
        <f t="shared" si="2"/>
        <v>9300</v>
      </c>
    </row>
    <row r="16" spans="1:12" ht="23" customHeight="1" x14ac:dyDescent="0.2">
      <c r="A16" s="1" t="s">
        <v>11</v>
      </c>
      <c r="B16" s="8">
        <f>SUM(L6:L14)</f>
        <v>57900</v>
      </c>
    </row>
    <row r="18" spans="1:6" ht="30" customHeight="1" x14ac:dyDescent="0.2">
      <c r="A18" s="19" t="s">
        <v>141</v>
      </c>
      <c r="B18" s="19" t="s">
        <v>142</v>
      </c>
      <c r="C18" s="19" t="s">
        <v>143</v>
      </c>
      <c r="D18" s="19" t="s">
        <v>6</v>
      </c>
      <c r="E18" s="19" t="s">
        <v>144</v>
      </c>
      <c r="F18" s="19" t="s">
        <v>16</v>
      </c>
    </row>
    <row r="19" spans="1:6" ht="23" customHeight="1" x14ac:dyDescent="0.2">
      <c r="A19" s="1" t="s">
        <v>135</v>
      </c>
      <c r="B19" s="1" t="s">
        <v>145</v>
      </c>
      <c r="C19" s="2">
        <v>150</v>
      </c>
      <c r="D19" s="2">
        <v>50</v>
      </c>
      <c r="E19" s="5">
        <f>SUM(D6:D8)</f>
        <v>0</v>
      </c>
      <c r="F19" s="5">
        <f t="shared" ref="F19:F30" si="3">C19-E19</f>
        <v>150</v>
      </c>
    </row>
    <row r="20" spans="1:6" ht="23" customHeight="1" x14ac:dyDescent="0.2">
      <c r="A20" s="1" t="s">
        <v>135</v>
      </c>
      <c r="B20" s="1" t="s">
        <v>146</v>
      </c>
      <c r="C20" s="2">
        <v>100</v>
      </c>
      <c r="D20" s="2">
        <v>100</v>
      </c>
      <c r="E20" s="5">
        <f>SUM(E6:E8)</f>
        <v>0</v>
      </c>
      <c r="F20" s="5">
        <f t="shared" si="3"/>
        <v>100</v>
      </c>
    </row>
    <row r="21" spans="1:6" ht="23" customHeight="1" x14ac:dyDescent="0.2">
      <c r="A21" s="1" t="s">
        <v>139</v>
      </c>
      <c r="B21" s="1" t="s">
        <v>145</v>
      </c>
      <c r="C21" s="2">
        <v>100</v>
      </c>
      <c r="D21" s="2">
        <v>60</v>
      </c>
      <c r="E21" s="5">
        <f>SUM(D9:D11)</f>
        <v>100</v>
      </c>
      <c r="F21" s="5">
        <f t="shared" si="3"/>
        <v>0</v>
      </c>
    </row>
    <row r="22" spans="1:6" ht="23" customHeight="1" x14ac:dyDescent="0.2">
      <c r="A22" s="1" t="s">
        <v>139</v>
      </c>
      <c r="B22" s="1" t="s">
        <v>146</v>
      </c>
      <c r="C22" s="2">
        <v>100</v>
      </c>
      <c r="D22" s="2">
        <v>90</v>
      </c>
      <c r="E22" s="5">
        <f>SUM(E9:E11)</f>
        <v>50</v>
      </c>
      <c r="F22" s="5">
        <f t="shared" si="3"/>
        <v>50</v>
      </c>
    </row>
    <row r="23" spans="1:6" ht="23" customHeight="1" x14ac:dyDescent="0.2">
      <c r="A23" s="1" t="s">
        <v>140</v>
      </c>
      <c r="B23" s="1" t="s">
        <v>145</v>
      </c>
      <c r="C23" s="2">
        <v>100</v>
      </c>
      <c r="D23" s="2">
        <v>70</v>
      </c>
      <c r="E23" s="5">
        <f>SUM(D12:D14)</f>
        <v>50</v>
      </c>
      <c r="F23" s="5">
        <f t="shared" si="3"/>
        <v>50</v>
      </c>
    </row>
    <row r="24" spans="1:6" ht="23" customHeight="1" x14ac:dyDescent="0.2">
      <c r="A24" s="1" t="s">
        <v>140</v>
      </c>
      <c r="B24" s="1" t="s">
        <v>146</v>
      </c>
      <c r="C24" s="2">
        <v>80</v>
      </c>
      <c r="D24" s="2">
        <v>80</v>
      </c>
      <c r="E24" s="5">
        <f>SUM(E12:E14)</f>
        <v>50</v>
      </c>
      <c r="F24" s="5">
        <f t="shared" si="3"/>
        <v>30</v>
      </c>
    </row>
    <row r="25" spans="1:6" ht="23" customHeight="1" x14ac:dyDescent="0.2">
      <c r="A25" s="1" t="s">
        <v>145</v>
      </c>
      <c r="B25" s="1" t="s">
        <v>136</v>
      </c>
      <c r="C25" s="2">
        <v>150</v>
      </c>
      <c r="D25" s="2">
        <v>100</v>
      </c>
      <c r="E25" s="5">
        <f>D6+D9+D12</f>
        <v>0</v>
      </c>
      <c r="F25" s="5">
        <f t="shared" si="3"/>
        <v>150</v>
      </c>
    </row>
    <row r="26" spans="1:6" ht="23" customHeight="1" x14ac:dyDescent="0.2">
      <c r="A26" s="1" t="s">
        <v>145</v>
      </c>
      <c r="B26" s="1" t="s">
        <v>137</v>
      </c>
      <c r="C26" s="2">
        <v>120</v>
      </c>
      <c r="D26" s="2">
        <v>90</v>
      </c>
      <c r="E26" s="5">
        <f>D7+D10+D13</f>
        <v>50</v>
      </c>
      <c r="F26" s="5">
        <f t="shared" si="3"/>
        <v>70</v>
      </c>
    </row>
    <row r="27" spans="1:6" ht="23" customHeight="1" x14ac:dyDescent="0.2">
      <c r="A27" s="1" t="s">
        <v>145</v>
      </c>
      <c r="B27" s="1" t="s">
        <v>138</v>
      </c>
      <c r="C27" s="2">
        <v>100</v>
      </c>
      <c r="D27" s="2">
        <v>80</v>
      </c>
      <c r="E27" s="5">
        <f>D8+D11+D14</f>
        <v>100</v>
      </c>
      <c r="F27" s="5">
        <f t="shared" si="3"/>
        <v>0</v>
      </c>
    </row>
    <row r="28" spans="1:6" ht="23" customHeight="1" x14ac:dyDescent="0.2">
      <c r="A28" s="1" t="s">
        <v>146</v>
      </c>
      <c r="B28" s="1" t="s">
        <v>136</v>
      </c>
      <c r="C28" s="2">
        <v>120</v>
      </c>
      <c r="D28" s="2">
        <v>80</v>
      </c>
      <c r="E28" s="5">
        <f>E6+E9+E12</f>
        <v>50</v>
      </c>
      <c r="F28" s="5">
        <f t="shared" si="3"/>
        <v>70</v>
      </c>
    </row>
    <row r="29" spans="1:6" ht="23" customHeight="1" x14ac:dyDescent="0.2">
      <c r="A29" s="1" t="s">
        <v>146</v>
      </c>
      <c r="B29" s="1" t="s">
        <v>137</v>
      </c>
      <c r="C29" s="2">
        <v>150</v>
      </c>
      <c r="D29" s="2">
        <v>70</v>
      </c>
      <c r="E29" s="5">
        <f>E7+E10+E13</f>
        <v>40</v>
      </c>
      <c r="F29" s="5">
        <f t="shared" si="3"/>
        <v>110</v>
      </c>
    </row>
    <row r="30" spans="1:6" ht="23" customHeight="1" x14ac:dyDescent="0.2">
      <c r="A30" s="1" t="s">
        <v>146</v>
      </c>
      <c r="B30" s="1" t="s">
        <v>138</v>
      </c>
      <c r="C30" s="2">
        <v>120</v>
      </c>
      <c r="D30" s="2">
        <v>100</v>
      </c>
      <c r="E30" s="5">
        <f>E8+E11+E14</f>
        <v>10</v>
      </c>
      <c r="F30" s="5">
        <f t="shared" si="3"/>
        <v>110</v>
      </c>
    </row>
    <row r="32" spans="1:6" ht="30" customHeight="1" x14ac:dyDescent="0.2">
      <c r="A32" s="19" t="s">
        <v>147</v>
      </c>
      <c r="B32" s="19" t="s">
        <v>125</v>
      </c>
      <c r="C32" s="19" t="s">
        <v>148</v>
      </c>
      <c r="D32" s="19" t="s">
        <v>144</v>
      </c>
      <c r="E32" s="19" t="s">
        <v>16</v>
      </c>
    </row>
    <row r="33" spans="1:12" ht="23" customHeight="1" x14ac:dyDescent="0.2">
      <c r="A33" s="1" t="s">
        <v>135</v>
      </c>
      <c r="B33" s="1" t="s">
        <v>136</v>
      </c>
      <c r="C33" s="2">
        <v>100</v>
      </c>
      <c r="D33" s="5">
        <f t="shared" ref="D33:D41" si="4">F6</f>
        <v>100</v>
      </c>
      <c r="E33" s="5">
        <f t="shared" ref="E33:E41" si="5">C33-D33</f>
        <v>0</v>
      </c>
    </row>
    <row r="34" spans="1:12" ht="23" customHeight="1" x14ac:dyDescent="0.2">
      <c r="A34" s="1" t="s">
        <v>135</v>
      </c>
      <c r="B34" s="1" t="s">
        <v>137</v>
      </c>
      <c r="C34" s="2">
        <v>60</v>
      </c>
      <c r="D34" s="5">
        <f t="shared" si="4"/>
        <v>60</v>
      </c>
      <c r="E34" s="5">
        <f t="shared" si="5"/>
        <v>0</v>
      </c>
    </row>
    <row r="35" spans="1:12" ht="23" customHeight="1" x14ac:dyDescent="0.2">
      <c r="A35" s="1" t="s">
        <v>135</v>
      </c>
      <c r="B35" s="1" t="s">
        <v>138</v>
      </c>
      <c r="C35" s="2">
        <v>40</v>
      </c>
      <c r="D35" s="5">
        <f t="shared" si="4"/>
        <v>40</v>
      </c>
      <c r="E35" s="5">
        <f t="shared" si="5"/>
        <v>0</v>
      </c>
    </row>
    <row r="36" spans="1:12" ht="23" customHeight="1" x14ac:dyDescent="0.2">
      <c r="A36" s="1" t="s">
        <v>139</v>
      </c>
      <c r="B36" s="1" t="s">
        <v>136</v>
      </c>
      <c r="C36" s="2">
        <v>0</v>
      </c>
      <c r="D36" s="5">
        <f t="shared" si="4"/>
        <v>0</v>
      </c>
      <c r="E36" s="5">
        <f t="shared" si="5"/>
        <v>0</v>
      </c>
    </row>
    <row r="37" spans="1:12" ht="23" customHeight="1" x14ac:dyDescent="0.2">
      <c r="A37" s="1" t="s">
        <v>139</v>
      </c>
      <c r="B37" s="1" t="s">
        <v>137</v>
      </c>
      <c r="C37" s="2">
        <v>0</v>
      </c>
      <c r="D37" s="5">
        <f t="shared" si="4"/>
        <v>0</v>
      </c>
      <c r="E37" s="5">
        <f t="shared" si="5"/>
        <v>0</v>
      </c>
    </row>
    <row r="38" spans="1:12" ht="23" customHeight="1" x14ac:dyDescent="0.2">
      <c r="A38" s="1" t="s">
        <v>139</v>
      </c>
      <c r="B38" s="1" t="s">
        <v>138</v>
      </c>
      <c r="C38" s="2">
        <v>0</v>
      </c>
      <c r="D38" s="5">
        <f t="shared" si="4"/>
        <v>0</v>
      </c>
      <c r="E38" s="5">
        <f t="shared" si="5"/>
        <v>0</v>
      </c>
    </row>
    <row r="39" spans="1:12" ht="23" customHeight="1" x14ac:dyDescent="0.2">
      <c r="A39" s="1" t="s">
        <v>140</v>
      </c>
      <c r="B39" s="1" t="s">
        <v>136</v>
      </c>
      <c r="C39" s="2">
        <v>0</v>
      </c>
      <c r="D39" s="5">
        <f t="shared" si="4"/>
        <v>0</v>
      </c>
      <c r="E39" s="5">
        <f t="shared" si="5"/>
        <v>0</v>
      </c>
    </row>
    <row r="40" spans="1:12" ht="23" customHeight="1" x14ac:dyDescent="0.2">
      <c r="A40" s="1" t="s">
        <v>140</v>
      </c>
      <c r="B40" s="1" t="s">
        <v>137</v>
      </c>
      <c r="C40" s="2">
        <v>0</v>
      </c>
      <c r="D40" s="5">
        <f t="shared" si="4"/>
        <v>0</v>
      </c>
      <c r="E40" s="5">
        <f t="shared" si="5"/>
        <v>0</v>
      </c>
    </row>
    <row r="41" spans="1:12" ht="23" customHeight="1" x14ac:dyDescent="0.2">
      <c r="A41" s="1" t="s">
        <v>140</v>
      </c>
      <c r="B41" s="1" t="s">
        <v>138</v>
      </c>
      <c r="C41" s="2">
        <v>0</v>
      </c>
      <c r="D41" s="5">
        <f t="shared" si="4"/>
        <v>0</v>
      </c>
      <c r="E41" s="5">
        <f t="shared" si="5"/>
        <v>0</v>
      </c>
    </row>
    <row r="43" spans="1:12" ht="30" customHeight="1" x14ac:dyDescent="0.2">
      <c r="A43" s="19" t="s">
        <v>25</v>
      </c>
      <c r="B43" s="19" t="s">
        <v>26</v>
      </c>
    </row>
    <row r="44" spans="1:12" ht="25" customHeight="1" x14ac:dyDescent="0.2">
      <c r="A44" s="11" t="s">
        <v>149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27" customHeight="1" x14ac:dyDescent="0.2">
      <c r="A45" s="11" t="s">
        <v>150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30" customHeight="1" x14ac:dyDescent="0.2">
      <c r="A46" s="11" t="s">
        <v>151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8" spans="1:12" ht="30" customHeight="1" x14ac:dyDescent="0.2">
      <c r="A48" s="19" t="s">
        <v>30</v>
      </c>
      <c r="B48" s="19" t="s">
        <v>31</v>
      </c>
    </row>
    <row r="49" spans="1:12" ht="29" customHeight="1" x14ac:dyDescent="0.2">
      <c r="A49" t="s">
        <v>152</v>
      </c>
      <c r="B49" s="13" t="s">
        <v>153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29" customHeight="1" x14ac:dyDescent="0.2">
      <c r="A50" t="s">
        <v>154</v>
      </c>
      <c r="B50" s="13" t="s">
        <v>155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29" customHeight="1" x14ac:dyDescent="0.2">
      <c r="A51" t="s">
        <v>156</v>
      </c>
      <c r="B51" s="13" t="s">
        <v>157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29" customHeight="1" x14ac:dyDescent="0.2">
      <c r="A52" t="s">
        <v>158</v>
      </c>
      <c r="B52" s="13" t="s">
        <v>159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29" customHeight="1" x14ac:dyDescent="0.2">
      <c r="A53" t="s">
        <v>38</v>
      </c>
      <c r="B53" s="13" t="s">
        <v>160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29" customHeight="1" x14ac:dyDescent="0.2">
      <c r="A54" t="s">
        <v>161</v>
      </c>
      <c r="B54" s="13" t="s">
        <v>162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29" customHeight="1" x14ac:dyDescent="0.2">
      <c r="A55" t="s">
        <v>163</v>
      </c>
      <c r="B55" s="13" t="s">
        <v>164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29" customHeight="1" x14ac:dyDescent="0.2">
      <c r="A56" t="s">
        <v>165</v>
      </c>
      <c r="B56" s="13" t="s">
        <v>166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29" customHeight="1" x14ac:dyDescent="0.2">
      <c r="A57" t="s">
        <v>167</v>
      </c>
      <c r="B57" s="13" t="s">
        <v>168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</sheetData>
  <mergeCells count="15">
    <mergeCell ref="A1:L1"/>
    <mergeCell ref="A45:L45"/>
    <mergeCell ref="A46:L46"/>
    <mergeCell ref="B51:L51"/>
    <mergeCell ref="B49:L49"/>
    <mergeCell ref="B50:L50"/>
    <mergeCell ref="A2:L2"/>
    <mergeCell ref="B55:L55"/>
    <mergeCell ref="A44:L44"/>
    <mergeCell ref="A3:L3"/>
    <mergeCell ref="B56:L56"/>
    <mergeCell ref="B57:L57"/>
    <mergeCell ref="B54:L54"/>
    <mergeCell ref="B53:L53"/>
    <mergeCell ref="B52:L52"/>
  </mergeCells>
  <printOptions horizontalCentered="1" headings="1"/>
  <pageMargins left="0.75" right="0.75" top="1" bottom="1" header="0.5" footer="0.5"/>
  <pageSetup paperSize="9" fitToHeight="0" orientation="landscape"/>
  <headerFooter>
    <oddFooter>&amp;CDMU HW2 | mnagersh | Page &amp;P</oddFooter>
  </headerFooter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Right="0"/>
    <pageSetUpPr fitToPage="1"/>
  </sheetPr>
  <dimension ref="A1:L5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3" sqref="A3:L3"/>
    </sheetView>
  </sheetViews>
  <sheetFormatPr baseColWidth="10" defaultColWidth="8.83203125" defaultRowHeight="15" x14ac:dyDescent="0.2"/>
  <cols>
    <col min="1" max="1" width="23" customWidth="1"/>
    <col min="2" max="2" width="19" customWidth="1"/>
    <col min="3" max="3" width="17" customWidth="1"/>
    <col min="4" max="6" width="16" customWidth="1"/>
    <col min="7" max="7" width="18" customWidth="1"/>
    <col min="8" max="9" width="17" customWidth="1"/>
    <col min="10" max="10" width="18" customWidth="1"/>
    <col min="11" max="11" width="17" customWidth="1"/>
    <col min="12" max="12" width="18" customWidth="1"/>
  </cols>
  <sheetData>
    <row r="1" spans="1:12" ht="29" customHeight="1" x14ac:dyDescent="0.3">
      <c r="A1" s="15" t="s">
        <v>171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x14ac:dyDescent="0.2">
      <c r="A2" s="12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ht="25" customHeight="1" x14ac:dyDescent="0.2">
      <c r="A3" s="11" t="s">
        <v>172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5" spans="1:12" ht="30" customHeight="1" x14ac:dyDescent="0.2">
      <c r="A5" s="19" t="s">
        <v>124</v>
      </c>
      <c r="B5" s="19" t="s">
        <v>125</v>
      </c>
      <c r="C5" s="19" t="s">
        <v>79</v>
      </c>
      <c r="D5" s="19" t="s">
        <v>126</v>
      </c>
      <c r="E5" s="19" t="s">
        <v>127</v>
      </c>
      <c r="F5" s="19" t="s">
        <v>128</v>
      </c>
      <c r="G5" s="19" t="s">
        <v>129</v>
      </c>
      <c r="H5" s="19" t="s">
        <v>130</v>
      </c>
      <c r="I5" s="19" t="s">
        <v>131</v>
      </c>
      <c r="J5" s="19" t="s">
        <v>132</v>
      </c>
      <c r="K5" s="19" t="s">
        <v>133</v>
      </c>
      <c r="L5" s="19" t="s">
        <v>134</v>
      </c>
    </row>
    <row r="6" spans="1:12" ht="23" customHeight="1" x14ac:dyDescent="0.2">
      <c r="A6" s="1" t="s">
        <v>135</v>
      </c>
      <c r="B6" s="1" t="s">
        <v>136</v>
      </c>
      <c r="C6" s="2">
        <v>100</v>
      </c>
      <c r="D6" s="3">
        <v>50</v>
      </c>
      <c r="E6" s="3">
        <v>50</v>
      </c>
      <c r="F6" s="3">
        <v>0</v>
      </c>
      <c r="G6" s="5">
        <f t="shared" ref="G6:G14" si="0">SUM(D6:F6)</f>
        <v>100</v>
      </c>
      <c r="H6" s="5">
        <f t="shared" ref="H6:H14" si="1">G6-C6</f>
        <v>0</v>
      </c>
      <c r="I6" s="5">
        <f>$D$19+$D$25</f>
        <v>150</v>
      </c>
      <c r="J6" s="5">
        <f>$D$20+$D$28</f>
        <v>180</v>
      </c>
      <c r="K6" s="2">
        <v>120</v>
      </c>
      <c r="L6" s="5">
        <f t="shared" ref="L6:L14" si="2">SUMPRODUCT(D6:F6,I6:K6)</f>
        <v>16500</v>
      </c>
    </row>
    <row r="7" spans="1:12" ht="23" customHeight="1" x14ac:dyDescent="0.2">
      <c r="A7" s="1" t="s">
        <v>135</v>
      </c>
      <c r="B7" s="1" t="s">
        <v>137</v>
      </c>
      <c r="C7" s="2">
        <v>60</v>
      </c>
      <c r="D7" s="3">
        <v>60</v>
      </c>
      <c r="E7" s="3">
        <v>0</v>
      </c>
      <c r="F7" s="3">
        <v>0</v>
      </c>
      <c r="G7" s="5">
        <f t="shared" si="0"/>
        <v>60</v>
      </c>
      <c r="H7" s="5">
        <f t="shared" si="1"/>
        <v>0</v>
      </c>
      <c r="I7" s="5">
        <f>$D$19+$D$26</f>
        <v>140</v>
      </c>
      <c r="J7" s="5">
        <f>$D$20+$D$29</f>
        <v>170</v>
      </c>
      <c r="K7" s="2">
        <v>80</v>
      </c>
      <c r="L7" s="5">
        <f t="shared" si="2"/>
        <v>8400</v>
      </c>
    </row>
    <row r="8" spans="1:12" ht="23" customHeight="1" x14ac:dyDescent="0.2">
      <c r="A8" s="1" t="s">
        <v>135</v>
      </c>
      <c r="B8" s="1" t="s">
        <v>138</v>
      </c>
      <c r="C8" s="2">
        <v>40</v>
      </c>
      <c r="D8" s="3">
        <v>40</v>
      </c>
      <c r="E8" s="3">
        <v>0</v>
      </c>
      <c r="F8" s="3">
        <v>0</v>
      </c>
      <c r="G8" s="5">
        <f t="shared" si="0"/>
        <v>40</v>
      </c>
      <c r="H8" s="5">
        <f t="shared" si="1"/>
        <v>0</v>
      </c>
      <c r="I8" s="5">
        <f>$D$19+$D$27</f>
        <v>130</v>
      </c>
      <c r="J8" s="5">
        <f>$D$20+$D$30</f>
        <v>200</v>
      </c>
      <c r="K8" s="2">
        <v>70</v>
      </c>
      <c r="L8" s="5">
        <f t="shared" si="2"/>
        <v>5200</v>
      </c>
    </row>
    <row r="9" spans="1:12" ht="23" customHeight="1" x14ac:dyDescent="0.2">
      <c r="A9" s="1" t="s">
        <v>139</v>
      </c>
      <c r="B9" s="1" t="s">
        <v>136</v>
      </c>
      <c r="C9" s="2">
        <v>50</v>
      </c>
      <c r="D9" s="3">
        <v>0</v>
      </c>
      <c r="E9" s="3">
        <v>0</v>
      </c>
      <c r="F9" s="3">
        <v>50</v>
      </c>
      <c r="G9" s="5">
        <f t="shared" si="0"/>
        <v>50</v>
      </c>
      <c r="H9" s="5">
        <f t="shared" si="1"/>
        <v>0</v>
      </c>
      <c r="I9" s="5">
        <f>$D$21+$D$25</f>
        <v>160</v>
      </c>
      <c r="J9" s="5">
        <f>$D$22+$D$28</f>
        <v>170</v>
      </c>
      <c r="K9" s="2">
        <v>110</v>
      </c>
      <c r="L9" s="5">
        <f t="shared" si="2"/>
        <v>5500</v>
      </c>
    </row>
    <row r="10" spans="1:12" ht="23" customHeight="1" x14ac:dyDescent="0.2">
      <c r="A10" s="1" t="s">
        <v>139</v>
      </c>
      <c r="B10" s="1" t="s">
        <v>137</v>
      </c>
      <c r="C10" s="2">
        <v>50</v>
      </c>
      <c r="D10" s="3">
        <v>0</v>
      </c>
      <c r="E10" s="3">
        <v>0</v>
      </c>
      <c r="F10" s="3">
        <v>50</v>
      </c>
      <c r="G10" s="5">
        <f t="shared" si="0"/>
        <v>50</v>
      </c>
      <c r="H10" s="5">
        <f t="shared" si="1"/>
        <v>0</v>
      </c>
      <c r="I10" s="5">
        <f>$D$21+$D$26</f>
        <v>150</v>
      </c>
      <c r="J10" s="5">
        <f>$D$22+$D$29</f>
        <v>160</v>
      </c>
      <c r="K10" s="2">
        <v>75</v>
      </c>
      <c r="L10" s="5">
        <f t="shared" si="2"/>
        <v>3750</v>
      </c>
    </row>
    <row r="11" spans="1:12" ht="23" customHeight="1" x14ac:dyDescent="0.2">
      <c r="A11" s="1" t="s">
        <v>139</v>
      </c>
      <c r="B11" s="1" t="s">
        <v>138</v>
      </c>
      <c r="C11" s="2">
        <v>50</v>
      </c>
      <c r="D11" s="3">
        <v>0</v>
      </c>
      <c r="E11" s="3">
        <v>0</v>
      </c>
      <c r="F11" s="3">
        <v>50</v>
      </c>
      <c r="G11" s="5">
        <f t="shared" si="0"/>
        <v>50</v>
      </c>
      <c r="H11" s="5">
        <f t="shared" si="1"/>
        <v>0</v>
      </c>
      <c r="I11" s="5">
        <f>$D$21+$D$27</f>
        <v>140</v>
      </c>
      <c r="J11" s="5">
        <f>$D$22+$D$30</f>
        <v>190</v>
      </c>
      <c r="K11" s="2">
        <v>65</v>
      </c>
      <c r="L11" s="5">
        <f t="shared" si="2"/>
        <v>3250</v>
      </c>
    </row>
    <row r="12" spans="1:12" ht="23" customHeight="1" x14ac:dyDescent="0.2">
      <c r="A12" s="1" t="s">
        <v>140</v>
      </c>
      <c r="B12" s="1" t="s">
        <v>136</v>
      </c>
      <c r="C12" s="2">
        <v>0</v>
      </c>
      <c r="D12" s="3">
        <v>0</v>
      </c>
      <c r="E12" s="3">
        <v>0</v>
      </c>
      <c r="F12" s="3">
        <v>0</v>
      </c>
      <c r="G12" s="5">
        <f t="shared" si="0"/>
        <v>0</v>
      </c>
      <c r="H12" s="5">
        <f t="shared" si="1"/>
        <v>0</v>
      </c>
      <c r="I12" s="5">
        <f>$D$23+$D$25</f>
        <v>170</v>
      </c>
      <c r="J12" s="5">
        <f>$D$24+$D$28</f>
        <v>160</v>
      </c>
      <c r="K12" s="2">
        <v>100</v>
      </c>
      <c r="L12" s="5">
        <f t="shared" si="2"/>
        <v>0</v>
      </c>
    </row>
    <row r="13" spans="1:12" ht="23" customHeight="1" x14ac:dyDescent="0.2">
      <c r="A13" s="1" t="s">
        <v>140</v>
      </c>
      <c r="B13" s="1" t="s">
        <v>137</v>
      </c>
      <c r="C13" s="2">
        <v>40</v>
      </c>
      <c r="D13" s="3">
        <v>0</v>
      </c>
      <c r="E13" s="3">
        <v>40</v>
      </c>
      <c r="F13" s="3">
        <v>0</v>
      </c>
      <c r="G13" s="5">
        <f t="shared" si="0"/>
        <v>40</v>
      </c>
      <c r="H13" s="5">
        <f t="shared" si="1"/>
        <v>0</v>
      </c>
      <c r="I13" s="5">
        <f>$D$23+$D$26</f>
        <v>160</v>
      </c>
      <c r="J13" s="5">
        <f>$D$24+$D$29</f>
        <v>150</v>
      </c>
      <c r="K13" s="2">
        <v>70</v>
      </c>
      <c r="L13" s="5">
        <f t="shared" si="2"/>
        <v>6000</v>
      </c>
    </row>
    <row r="14" spans="1:12" ht="23" customHeight="1" x14ac:dyDescent="0.2">
      <c r="A14" s="1" t="s">
        <v>140</v>
      </c>
      <c r="B14" s="1" t="s">
        <v>138</v>
      </c>
      <c r="C14" s="2">
        <v>60</v>
      </c>
      <c r="D14" s="3">
        <v>60</v>
      </c>
      <c r="E14" s="3">
        <v>0</v>
      </c>
      <c r="F14" s="3">
        <v>0</v>
      </c>
      <c r="G14" s="5">
        <f t="shared" si="0"/>
        <v>60</v>
      </c>
      <c r="H14" s="5">
        <f t="shared" si="1"/>
        <v>0</v>
      </c>
      <c r="I14" s="5">
        <f>$D$23+$D$27</f>
        <v>150</v>
      </c>
      <c r="J14" s="5">
        <f>$D$24+$D$30</f>
        <v>180</v>
      </c>
      <c r="K14" s="2">
        <v>60</v>
      </c>
      <c r="L14" s="5">
        <f t="shared" si="2"/>
        <v>9000</v>
      </c>
    </row>
    <row r="16" spans="1:12" ht="23" customHeight="1" x14ac:dyDescent="0.2">
      <c r="A16" s="1" t="s">
        <v>11</v>
      </c>
      <c r="B16" s="8">
        <f>SUM(L6:L14)</f>
        <v>57600</v>
      </c>
    </row>
    <row r="18" spans="1:6" ht="30" customHeight="1" x14ac:dyDescent="0.2">
      <c r="A18" s="19" t="s">
        <v>141</v>
      </c>
      <c r="B18" s="19" t="s">
        <v>142</v>
      </c>
      <c r="C18" s="19" t="s">
        <v>143</v>
      </c>
      <c r="D18" s="19" t="s">
        <v>6</v>
      </c>
      <c r="E18" s="19" t="s">
        <v>144</v>
      </c>
      <c r="F18" s="19" t="s">
        <v>16</v>
      </c>
    </row>
    <row r="19" spans="1:6" ht="23" customHeight="1" x14ac:dyDescent="0.2">
      <c r="A19" s="1" t="s">
        <v>135</v>
      </c>
      <c r="B19" s="1" t="s">
        <v>145</v>
      </c>
      <c r="C19" s="2">
        <v>150</v>
      </c>
      <c r="D19" s="2">
        <v>50</v>
      </c>
      <c r="E19" s="5">
        <f>SUM(D6:D8)</f>
        <v>150</v>
      </c>
      <c r="F19" s="5">
        <f t="shared" ref="F19:F30" si="3">C19-E19</f>
        <v>0</v>
      </c>
    </row>
    <row r="20" spans="1:6" ht="23" customHeight="1" x14ac:dyDescent="0.2">
      <c r="A20" s="1" t="s">
        <v>135</v>
      </c>
      <c r="B20" s="1" t="s">
        <v>146</v>
      </c>
      <c r="C20" s="2">
        <v>100</v>
      </c>
      <c r="D20" s="2">
        <v>100</v>
      </c>
      <c r="E20" s="5">
        <f>SUM(E6:E8)</f>
        <v>50</v>
      </c>
      <c r="F20" s="5">
        <f t="shared" si="3"/>
        <v>50</v>
      </c>
    </row>
    <row r="21" spans="1:6" ht="23" customHeight="1" x14ac:dyDescent="0.2">
      <c r="A21" s="1" t="s">
        <v>139</v>
      </c>
      <c r="B21" s="1" t="s">
        <v>145</v>
      </c>
      <c r="C21" s="2">
        <v>100</v>
      </c>
      <c r="D21" s="2">
        <v>60</v>
      </c>
      <c r="E21" s="5">
        <f>SUM(D9:D11)</f>
        <v>0</v>
      </c>
      <c r="F21" s="5">
        <f t="shared" si="3"/>
        <v>100</v>
      </c>
    </row>
    <row r="22" spans="1:6" ht="23" customHeight="1" x14ac:dyDescent="0.2">
      <c r="A22" s="1" t="s">
        <v>139</v>
      </c>
      <c r="B22" s="1" t="s">
        <v>146</v>
      </c>
      <c r="C22" s="2">
        <v>100</v>
      </c>
      <c r="D22" s="2">
        <v>90</v>
      </c>
      <c r="E22" s="5">
        <f>SUM(E9:E11)</f>
        <v>0</v>
      </c>
      <c r="F22" s="5">
        <f t="shared" si="3"/>
        <v>100</v>
      </c>
    </row>
    <row r="23" spans="1:6" ht="23" customHeight="1" x14ac:dyDescent="0.2">
      <c r="A23" s="1" t="s">
        <v>140</v>
      </c>
      <c r="B23" s="1" t="s">
        <v>145</v>
      </c>
      <c r="C23" s="2">
        <v>100</v>
      </c>
      <c r="D23" s="2">
        <v>70</v>
      </c>
      <c r="E23" s="5">
        <f>SUM(D12:D14)</f>
        <v>60</v>
      </c>
      <c r="F23" s="5">
        <f t="shared" si="3"/>
        <v>40</v>
      </c>
    </row>
    <row r="24" spans="1:6" ht="23" customHeight="1" x14ac:dyDescent="0.2">
      <c r="A24" s="1" t="s">
        <v>140</v>
      </c>
      <c r="B24" s="1" t="s">
        <v>146</v>
      </c>
      <c r="C24" s="2">
        <v>80</v>
      </c>
      <c r="D24" s="2">
        <v>80</v>
      </c>
      <c r="E24" s="5">
        <f>SUM(E12:E14)</f>
        <v>40</v>
      </c>
      <c r="F24" s="5">
        <f t="shared" si="3"/>
        <v>40</v>
      </c>
    </row>
    <row r="25" spans="1:6" ht="23" customHeight="1" x14ac:dyDescent="0.2">
      <c r="A25" s="1" t="s">
        <v>145</v>
      </c>
      <c r="B25" s="1" t="s">
        <v>136</v>
      </c>
      <c r="C25" s="2">
        <v>150</v>
      </c>
      <c r="D25" s="2">
        <v>100</v>
      </c>
      <c r="E25" s="5">
        <f>D6+D9+D12</f>
        <v>50</v>
      </c>
      <c r="F25" s="5">
        <f t="shared" si="3"/>
        <v>100</v>
      </c>
    </row>
    <row r="26" spans="1:6" ht="23" customHeight="1" x14ac:dyDescent="0.2">
      <c r="A26" s="1" t="s">
        <v>145</v>
      </c>
      <c r="B26" s="1" t="s">
        <v>137</v>
      </c>
      <c r="C26" s="2">
        <v>120</v>
      </c>
      <c r="D26" s="2">
        <v>90</v>
      </c>
      <c r="E26" s="5">
        <f>D7+D10+D13</f>
        <v>60</v>
      </c>
      <c r="F26" s="5">
        <f t="shared" si="3"/>
        <v>60</v>
      </c>
    </row>
    <row r="27" spans="1:6" ht="23" customHeight="1" x14ac:dyDescent="0.2">
      <c r="A27" s="1" t="s">
        <v>145</v>
      </c>
      <c r="B27" s="1" t="s">
        <v>138</v>
      </c>
      <c r="C27" s="2">
        <v>100</v>
      </c>
      <c r="D27" s="2">
        <v>80</v>
      </c>
      <c r="E27" s="5">
        <f>D8+D11+D14</f>
        <v>100</v>
      </c>
      <c r="F27" s="5">
        <f t="shared" si="3"/>
        <v>0</v>
      </c>
    </row>
    <row r="28" spans="1:6" ht="23" customHeight="1" x14ac:dyDescent="0.2">
      <c r="A28" s="1" t="s">
        <v>146</v>
      </c>
      <c r="B28" s="1" t="s">
        <v>136</v>
      </c>
      <c r="C28" s="2">
        <v>120</v>
      </c>
      <c r="D28" s="2">
        <v>80</v>
      </c>
      <c r="E28" s="5">
        <f>E6+E9+E12</f>
        <v>50</v>
      </c>
      <c r="F28" s="5">
        <f t="shared" si="3"/>
        <v>70</v>
      </c>
    </row>
    <row r="29" spans="1:6" ht="23" customHeight="1" x14ac:dyDescent="0.2">
      <c r="A29" s="1" t="s">
        <v>146</v>
      </c>
      <c r="B29" s="1" t="s">
        <v>137</v>
      </c>
      <c r="C29" s="2">
        <v>150</v>
      </c>
      <c r="D29" s="2">
        <v>70</v>
      </c>
      <c r="E29" s="5">
        <f>E7+E10+E13</f>
        <v>40</v>
      </c>
      <c r="F29" s="5">
        <f t="shared" si="3"/>
        <v>110</v>
      </c>
    </row>
    <row r="30" spans="1:6" ht="23" customHeight="1" x14ac:dyDescent="0.2">
      <c r="A30" s="1" t="s">
        <v>146</v>
      </c>
      <c r="B30" s="1" t="s">
        <v>138</v>
      </c>
      <c r="C30" s="2">
        <v>120</v>
      </c>
      <c r="D30" s="2">
        <v>100</v>
      </c>
      <c r="E30" s="5">
        <f>E8+E11+E14</f>
        <v>0</v>
      </c>
      <c r="F30" s="5">
        <f t="shared" si="3"/>
        <v>120</v>
      </c>
    </row>
    <row r="32" spans="1:6" ht="30" customHeight="1" x14ac:dyDescent="0.2">
      <c r="A32" s="19" t="s">
        <v>147</v>
      </c>
      <c r="B32" s="19" t="s">
        <v>125</v>
      </c>
      <c r="C32" s="19" t="s">
        <v>148</v>
      </c>
      <c r="D32" s="19" t="s">
        <v>144</v>
      </c>
      <c r="E32" s="19" t="s">
        <v>16</v>
      </c>
    </row>
    <row r="33" spans="1:12" ht="23" customHeight="1" x14ac:dyDescent="0.2">
      <c r="A33" s="1" t="s">
        <v>135</v>
      </c>
      <c r="B33" s="1" t="s">
        <v>136</v>
      </c>
      <c r="C33" s="2">
        <v>0</v>
      </c>
      <c r="D33" s="5">
        <f t="shared" ref="D33:D41" si="4">F6</f>
        <v>0</v>
      </c>
      <c r="E33" s="5">
        <f t="shared" ref="E33:E41" si="5">C33-D33</f>
        <v>0</v>
      </c>
    </row>
    <row r="34" spans="1:12" ht="23" customHeight="1" x14ac:dyDescent="0.2">
      <c r="A34" s="1" t="s">
        <v>135</v>
      </c>
      <c r="B34" s="1" t="s">
        <v>137</v>
      </c>
      <c r="C34" s="2">
        <v>0</v>
      </c>
      <c r="D34" s="5">
        <f t="shared" si="4"/>
        <v>0</v>
      </c>
      <c r="E34" s="5">
        <f t="shared" si="5"/>
        <v>0</v>
      </c>
    </row>
    <row r="35" spans="1:12" ht="23" customHeight="1" x14ac:dyDescent="0.2">
      <c r="A35" s="1" t="s">
        <v>135</v>
      </c>
      <c r="B35" s="1" t="s">
        <v>138</v>
      </c>
      <c r="C35" s="2">
        <v>0</v>
      </c>
      <c r="D35" s="5">
        <f t="shared" si="4"/>
        <v>0</v>
      </c>
      <c r="E35" s="5">
        <f t="shared" si="5"/>
        <v>0</v>
      </c>
    </row>
    <row r="36" spans="1:12" ht="23" customHeight="1" x14ac:dyDescent="0.2">
      <c r="A36" s="1" t="s">
        <v>139</v>
      </c>
      <c r="B36" s="1" t="s">
        <v>136</v>
      </c>
      <c r="C36" s="2">
        <v>100</v>
      </c>
      <c r="D36" s="5">
        <f t="shared" si="4"/>
        <v>50</v>
      </c>
      <c r="E36" s="5">
        <f t="shared" si="5"/>
        <v>50</v>
      </c>
    </row>
    <row r="37" spans="1:12" ht="23" customHeight="1" x14ac:dyDescent="0.2">
      <c r="A37" s="1" t="s">
        <v>139</v>
      </c>
      <c r="B37" s="1" t="s">
        <v>137</v>
      </c>
      <c r="C37" s="2">
        <v>60</v>
      </c>
      <c r="D37" s="5">
        <f t="shared" si="4"/>
        <v>50</v>
      </c>
      <c r="E37" s="5">
        <f t="shared" si="5"/>
        <v>10</v>
      </c>
    </row>
    <row r="38" spans="1:12" ht="23" customHeight="1" x14ac:dyDescent="0.2">
      <c r="A38" s="1" t="s">
        <v>139</v>
      </c>
      <c r="B38" s="1" t="s">
        <v>138</v>
      </c>
      <c r="C38" s="2">
        <v>50</v>
      </c>
      <c r="D38" s="5">
        <f t="shared" si="4"/>
        <v>50</v>
      </c>
      <c r="E38" s="5">
        <f t="shared" si="5"/>
        <v>0</v>
      </c>
    </row>
    <row r="39" spans="1:12" ht="23" customHeight="1" x14ac:dyDescent="0.2">
      <c r="A39" s="1" t="s">
        <v>140</v>
      </c>
      <c r="B39" s="1" t="s">
        <v>136</v>
      </c>
      <c r="C39" s="2">
        <v>0</v>
      </c>
      <c r="D39" s="5">
        <f t="shared" si="4"/>
        <v>0</v>
      </c>
      <c r="E39" s="5">
        <f t="shared" si="5"/>
        <v>0</v>
      </c>
    </row>
    <row r="40" spans="1:12" ht="23" customHeight="1" x14ac:dyDescent="0.2">
      <c r="A40" s="1" t="s">
        <v>140</v>
      </c>
      <c r="B40" s="1" t="s">
        <v>137</v>
      </c>
      <c r="C40" s="2">
        <v>0</v>
      </c>
      <c r="D40" s="5">
        <f t="shared" si="4"/>
        <v>0</v>
      </c>
      <c r="E40" s="5">
        <f t="shared" si="5"/>
        <v>0</v>
      </c>
    </row>
    <row r="41" spans="1:12" ht="23" customHeight="1" x14ac:dyDescent="0.2">
      <c r="A41" s="1" t="s">
        <v>140</v>
      </c>
      <c r="B41" s="1" t="s">
        <v>138</v>
      </c>
      <c r="C41" s="2">
        <v>0</v>
      </c>
      <c r="D41" s="5">
        <f t="shared" si="4"/>
        <v>0</v>
      </c>
      <c r="E41" s="5">
        <f t="shared" si="5"/>
        <v>0</v>
      </c>
    </row>
    <row r="43" spans="1:12" ht="30" customHeight="1" x14ac:dyDescent="0.2">
      <c r="A43" s="19" t="s">
        <v>25</v>
      </c>
      <c r="B43" s="19" t="s">
        <v>26</v>
      </c>
    </row>
    <row r="44" spans="1:12" ht="25" customHeight="1" x14ac:dyDescent="0.2">
      <c r="A44" s="11" t="s">
        <v>149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27" customHeight="1" x14ac:dyDescent="0.2">
      <c r="A45" s="11" t="s">
        <v>150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30" customHeight="1" x14ac:dyDescent="0.2">
      <c r="A46" s="11" t="s">
        <v>151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8" spans="1:12" ht="30" customHeight="1" x14ac:dyDescent="0.2">
      <c r="A48" s="19" t="s">
        <v>30</v>
      </c>
      <c r="B48" s="19" t="s">
        <v>31</v>
      </c>
    </row>
    <row r="49" spans="1:12" ht="29" customHeight="1" x14ac:dyDescent="0.2">
      <c r="A49" t="s">
        <v>152</v>
      </c>
      <c r="B49" s="13" t="s">
        <v>153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29" customHeight="1" x14ac:dyDescent="0.2">
      <c r="A50" t="s">
        <v>154</v>
      </c>
      <c r="B50" s="13" t="s">
        <v>155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29" customHeight="1" x14ac:dyDescent="0.2">
      <c r="A51" t="s">
        <v>156</v>
      </c>
      <c r="B51" s="13" t="s">
        <v>157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29" customHeight="1" x14ac:dyDescent="0.2">
      <c r="A52" t="s">
        <v>158</v>
      </c>
      <c r="B52" s="13" t="s">
        <v>159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29" customHeight="1" x14ac:dyDescent="0.2">
      <c r="A53" t="s">
        <v>38</v>
      </c>
      <c r="B53" s="13" t="s">
        <v>160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29" customHeight="1" x14ac:dyDescent="0.2">
      <c r="A54" t="s">
        <v>161</v>
      </c>
      <c r="B54" s="13" t="s">
        <v>162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29" customHeight="1" x14ac:dyDescent="0.2">
      <c r="A55" t="s">
        <v>163</v>
      </c>
      <c r="B55" s="13" t="s">
        <v>164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29" customHeight="1" x14ac:dyDescent="0.2">
      <c r="A56" t="s">
        <v>165</v>
      </c>
      <c r="B56" s="13" t="s">
        <v>166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29" customHeight="1" x14ac:dyDescent="0.2">
      <c r="A57" t="s">
        <v>167</v>
      </c>
      <c r="B57" s="13" t="s">
        <v>168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</sheetData>
  <mergeCells count="15">
    <mergeCell ref="A1:L1"/>
    <mergeCell ref="A45:L45"/>
    <mergeCell ref="A46:L46"/>
    <mergeCell ref="B51:L51"/>
    <mergeCell ref="B49:L49"/>
    <mergeCell ref="B50:L50"/>
    <mergeCell ref="A2:L2"/>
    <mergeCell ref="B55:L55"/>
    <mergeCell ref="A44:L44"/>
    <mergeCell ref="A3:L3"/>
    <mergeCell ref="B56:L56"/>
    <mergeCell ref="B57:L57"/>
    <mergeCell ref="B54:L54"/>
    <mergeCell ref="B53:L53"/>
    <mergeCell ref="B52:L52"/>
  </mergeCells>
  <printOptions horizontalCentered="1" headings="1"/>
  <pageMargins left="0.75" right="0.75" top="1" bottom="1" header="0.5" footer="0.5"/>
  <pageSetup paperSize="9" fitToHeight="0" orientation="landscape"/>
  <headerFooter>
    <oddFooter>&amp;CDMU HW2 | mnagersh | Page &amp;P</oddFooter>
  </headerFooter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Right="0"/>
    <pageSetUpPr fitToPage="1"/>
  </sheetPr>
  <dimension ref="A1:L57"/>
  <sheetViews>
    <sheetView showGridLines="0" workbookViewId="0">
      <pane xSplit="1" ySplit="4" topLeftCell="B37" activePane="bottomRight" state="frozen"/>
      <selection pane="topRight"/>
      <selection pane="bottomLeft"/>
      <selection pane="bottomRight" activeCell="A48" sqref="A48:B48"/>
    </sheetView>
  </sheetViews>
  <sheetFormatPr baseColWidth="10" defaultColWidth="8.83203125" defaultRowHeight="15" x14ac:dyDescent="0.2"/>
  <cols>
    <col min="1" max="1" width="23" customWidth="1"/>
    <col min="2" max="2" width="19" customWidth="1"/>
    <col min="3" max="3" width="17" customWidth="1"/>
    <col min="4" max="6" width="16" customWidth="1"/>
    <col min="7" max="7" width="18" customWidth="1"/>
    <col min="8" max="9" width="17" customWidth="1"/>
    <col min="10" max="10" width="18" customWidth="1"/>
    <col min="11" max="11" width="17" customWidth="1"/>
    <col min="12" max="12" width="18" customWidth="1"/>
  </cols>
  <sheetData>
    <row r="1" spans="1:12" ht="29" customHeight="1" x14ac:dyDescent="0.3">
      <c r="A1" s="15" t="s">
        <v>173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x14ac:dyDescent="0.2">
      <c r="A2" s="12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ht="25" customHeight="1" x14ac:dyDescent="0.2">
      <c r="A3" s="11" t="s">
        <v>174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5" spans="1:12" ht="30" customHeight="1" x14ac:dyDescent="0.2">
      <c r="A5" s="19" t="s">
        <v>124</v>
      </c>
      <c r="B5" s="19" t="s">
        <v>125</v>
      </c>
      <c r="C5" s="19" t="s">
        <v>79</v>
      </c>
      <c r="D5" s="19" t="s">
        <v>126</v>
      </c>
      <c r="E5" s="19" t="s">
        <v>127</v>
      </c>
      <c r="F5" s="19" t="s">
        <v>128</v>
      </c>
      <c r="G5" s="19" t="s">
        <v>129</v>
      </c>
      <c r="H5" s="19" t="s">
        <v>130</v>
      </c>
      <c r="I5" s="19" t="s">
        <v>131</v>
      </c>
      <c r="J5" s="19" t="s">
        <v>132</v>
      </c>
      <c r="K5" s="19" t="s">
        <v>133</v>
      </c>
      <c r="L5" s="19" t="s">
        <v>134</v>
      </c>
    </row>
    <row r="6" spans="1:12" ht="23" customHeight="1" x14ac:dyDescent="0.2">
      <c r="A6" s="1" t="s">
        <v>135</v>
      </c>
      <c r="B6" s="1" t="s">
        <v>136</v>
      </c>
      <c r="C6" s="2">
        <v>100</v>
      </c>
      <c r="D6" s="3">
        <v>50</v>
      </c>
      <c r="E6" s="3">
        <v>50</v>
      </c>
      <c r="F6" s="3">
        <v>0</v>
      </c>
      <c r="G6" s="5">
        <f t="shared" ref="G6:G14" si="0">SUM(D6:F6)</f>
        <v>100</v>
      </c>
      <c r="H6" s="5">
        <f t="shared" ref="H6:H14" si="1">G6-C6</f>
        <v>0</v>
      </c>
      <c r="I6" s="5">
        <f>$D$19+$D$25</f>
        <v>150</v>
      </c>
      <c r="J6" s="5">
        <f>$D$20+$D$28</f>
        <v>180</v>
      </c>
      <c r="K6" s="2">
        <v>120</v>
      </c>
      <c r="L6" s="5">
        <f t="shared" ref="L6:L14" si="2">SUMPRODUCT(D6:F6,I6:K6)</f>
        <v>16500</v>
      </c>
    </row>
    <row r="7" spans="1:12" ht="23" customHeight="1" x14ac:dyDescent="0.2">
      <c r="A7" s="1" t="s">
        <v>135</v>
      </c>
      <c r="B7" s="1" t="s">
        <v>137</v>
      </c>
      <c r="C7" s="2">
        <v>60</v>
      </c>
      <c r="D7" s="3">
        <v>60</v>
      </c>
      <c r="E7" s="3">
        <v>0</v>
      </c>
      <c r="F7" s="3">
        <v>0</v>
      </c>
      <c r="G7" s="5">
        <f t="shared" si="0"/>
        <v>60</v>
      </c>
      <c r="H7" s="5">
        <f t="shared" si="1"/>
        <v>0</v>
      </c>
      <c r="I7" s="5">
        <f>$D$19+$D$26</f>
        <v>140</v>
      </c>
      <c r="J7" s="5">
        <f>$D$20+$D$29</f>
        <v>170</v>
      </c>
      <c r="K7" s="2">
        <v>80</v>
      </c>
      <c r="L7" s="5">
        <f t="shared" si="2"/>
        <v>8400</v>
      </c>
    </row>
    <row r="8" spans="1:12" ht="23" customHeight="1" x14ac:dyDescent="0.2">
      <c r="A8" s="1" t="s">
        <v>135</v>
      </c>
      <c r="B8" s="1" t="s">
        <v>138</v>
      </c>
      <c r="C8" s="2">
        <v>40</v>
      </c>
      <c r="D8" s="3">
        <v>40</v>
      </c>
      <c r="E8" s="3">
        <v>0</v>
      </c>
      <c r="F8" s="3">
        <v>0</v>
      </c>
      <c r="G8" s="5">
        <f t="shared" si="0"/>
        <v>40</v>
      </c>
      <c r="H8" s="5">
        <f t="shared" si="1"/>
        <v>0</v>
      </c>
      <c r="I8" s="5">
        <f>$D$19+$D$27</f>
        <v>130</v>
      </c>
      <c r="J8" s="5">
        <f>$D$20+$D$30</f>
        <v>200</v>
      </c>
      <c r="K8" s="2">
        <v>70</v>
      </c>
      <c r="L8" s="5">
        <f t="shared" si="2"/>
        <v>5200</v>
      </c>
    </row>
    <row r="9" spans="1:12" ht="23" customHeight="1" x14ac:dyDescent="0.2">
      <c r="A9" s="1" t="s">
        <v>139</v>
      </c>
      <c r="B9" s="1" t="s">
        <v>136</v>
      </c>
      <c r="C9" s="2">
        <v>50</v>
      </c>
      <c r="D9" s="3">
        <v>0</v>
      </c>
      <c r="E9" s="3">
        <v>50</v>
      </c>
      <c r="F9" s="3">
        <v>0</v>
      </c>
      <c r="G9" s="5">
        <f t="shared" si="0"/>
        <v>50</v>
      </c>
      <c r="H9" s="5">
        <f t="shared" si="1"/>
        <v>0</v>
      </c>
      <c r="I9" s="5">
        <f>$D$21+$D$25</f>
        <v>160</v>
      </c>
      <c r="J9" s="5">
        <f>$D$22+$D$28</f>
        <v>170</v>
      </c>
      <c r="K9" s="2">
        <v>110</v>
      </c>
      <c r="L9" s="5">
        <f t="shared" si="2"/>
        <v>8500</v>
      </c>
    </row>
    <row r="10" spans="1:12" ht="23" customHeight="1" x14ac:dyDescent="0.2">
      <c r="A10" s="1" t="s">
        <v>139</v>
      </c>
      <c r="B10" s="1" t="s">
        <v>137</v>
      </c>
      <c r="C10" s="2">
        <v>50</v>
      </c>
      <c r="D10" s="3">
        <v>50</v>
      </c>
      <c r="E10" s="3">
        <v>0</v>
      </c>
      <c r="F10" s="3">
        <v>0</v>
      </c>
      <c r="G10" s="5">
        <f t="shared" si="0"/>
        <v>50</v>
      </c>
      <c r="H10" s="5">
        <f t="shared" si="1"/>
        <v>0</v>
      </c>
      <c r="I10" s="5">
        <f>$D$21+$D$26</f>
        <v>150</v>
      </c>
      <c r="J10" s="5">
        <f>$D$22+$D$29</f>
        <v>160</v>
      </c>
      <c r="K10" s="2">
        <v>75</v>
      </c>
      <c r="L10" s="5">
        <f t="shared" si="2"/>
        <v>7500</v>
      </c>
    </row>
    <row r="11" spans="1:12" ht="23" customHeight="1" x14ac:dyDescent="0.2">
      <c r="A11" s="1" t="s">
        <v>139</v>
      </c>
      <c r="B11" s="1" t="s">
        <v>138</v>
      </c>
      <c r="C11" s="2">
        <v>50</v>
      </c>
      <c r="D11" s="3">
        <v>50</v>
      </c>
      <c r="E11" s="3">
        <v>0</v>
      </c>
      <c r="F11" s="3">
        <v>0</v>
      </c>
      <c r="G11" s="5">
        <f t="shared" si="0"/>
        <v>50</v>
      </c>
      <c r="H11" s="5">
        <f t="shared" si="1"/>
        <v>0</v>
      </c>
      <c r="I11" s="5">
        <f>$D$21+$D$27</f>
        <v>140</v>
      </c>
      <c r="J11" s="5">
        <f>$D$22+$D$30</f>
        <v>190</v>
      </c>
      <c r="K11" s="2">
        <v>65</v>
      </c>
      <c r="L11" s="5">
        <f t="shared" si="2"/>
        <v>7000</v>
      </c>
    </row>
    <row r="12" spans="1:12" ht="23" customHeight="1" x14ac:dyDescent="0.2">
      <c r="A12" s="1" t="s">
        <v>140</v>
      </c>
      <c r="B12" s="1" t="s">
        <v>136</v>
      </c>
      <c r="C12" s="2">
        <v>0</v>
      </c>
      <c r="D12" s="3">
        <v>0</v>
      </c>
      <c r="E12" s="3">
        <v>0</v>
      </c>
      <c r="F12" s="3">
        <v>0</v>
      </c>
      <c r="G12" s="5">
        <f t="shared" si="0"/>
        <v>0</v>
      </c>
      <c r="H12" s="5">
        <f t="shared" si="1"/>
        <v>0</v>
      </c>
      <c r="I12" s="5">
        <f>$D$23+$D$25</f>
        <v>170</v>
      </c>
      <c r="J12" s="5">
        <f>$D$24+$D$28</f>
        <v>160</v>
      </c>
      <c r="K12" s="2">
        <v>100</v>
      </c>
      <c r="L12" s="5">
        <f t="shared" si="2"/>
        <v>0</v>
      </c>
    </row>
    <row r="13" spans="1:12" ht="23" customHeight="1" x14ac:dyDescent="0.2">
      <c r="A13" s="1" t="s">
        <v>140</v>
      </c>
      <c r="B13" s="1" t="s">
        <v>137</v>
      </c>
      <c r="C13" s="2">
        <v>40</v>
      </c>
      <c r="D13" s="3">
        <v>0</v>
      </c>
      <c r="E13" s="3">
        <v>0</v>
      </c>
      <c r="F13" s="3">
        <v>40</v>
      </c>
      <c r="G13" s="5">
        <f t="shared" si="0"/>
        <v>40</v>
      </c>
      <c r="H13" s="5">
        <f t="shared" si="1"/>
        <v>0</v>
      </c>
      <c r="I13" s="5">
        <f>$D$23+$D$26</f>
        <v>160</v>
      </c>
      <c r="J13" s="5">
        <f>$D$24+$D$29</f>
        <v>150</v>
      </c>
      <c r="K13" s="2">
        <v>70</v>
      </c>
      <c r="L13" s="5">
        <f t="shared" si="2"/>
        <v>2800</v>
      </c>
    </row>
    <row r="14" spans="1:12" ht="23" customHeight="1" x14ac:dyDescent="0.2">
      <c r="A14" s="1" t="s">
        <v>140</v>
      </c>
      <c r="B14" s="1" t="s">
        <v>138</v>
      </c>
      <c r="C14" s="2">
        <v>60</v>
      </c>
      <c r="D14" s="3">
        <v>0</v>
      </c>
      <c r="E14" s="3">
        <v>0</v>
      </c>
      <c r="F14" s="3">
        <v>60</v>
      </c>
      <c r="G14" s="5">
        <f t="shared" si="0"/>
        <v>60</v>
      </c>
      <c r="H14" s="5">
        <f t="shared" si="1"/>
        <v>0</v>
      </c>
      <c r="I14" s="5">
        <f>$D$23+$D$27</f>
        <v>150</v>
      </c>
      <c r="J14" s="5">
        <f>$D$24+$D$30</f>
        <v>180</v>
      </c>
      <c r="K14" s="2">
        <v>60</v>
      </c>
      <c r="L14" s="5">
        <f t="shared" si="2"/>
        <v>3600</v>
      </c>
    </row>
    <row r="16" spans="1:12" ht="23" customHeight="1" x14ac:dyDescent="0.2">
      <c r="A16" s="1" t="s">
        <v>11</v>
      </c>
      <c r="B16" s="8">
        <f>SUM(L6:L14)</f>
        <v>59500</v>
      </c>
    </row>
    <row r="18" spans="1:6" ht="30" customHeight="1" x14ac:dyDescent="0.2">
      <c r="A18" s="19" t="s">
        <v>141</v>
      </c>
      <c r="B18" s="19" t="s">
        <v>142</v>
      </c>
      <c r="C18" s="19" t="s">
        <v>143</v>
      </c>
      <c r="D18" s="19" t="s">
        <v>6</v>
      </c>
      <c r="E18" s="19" t="s">
        <v>144</v>
      </c>
      <c r="F18" s="19" t="s">
        <v>16</v>
      </c>
    </row>
    <row r="19" spans="1:6" ht="23" customHeight="1" x14ac:dyDescent="0.2">
      <c r="A19" s="1" t="s">
        <v>135</v>
      </c>
      <c r="B19" s="1" t="s">
        <v>145</v>
      </c>
      <c r="C19" s="2">
        <v>150</v>
      </c>
      <c r="D19" s="2">
        <v>50</v>
      </c>
      <c r="E19" s="5">
        <f>SUM(D6:D8)</f>
        <v>150</v>
      </c>
      <c r="F19" s="5">
        <f t="shared" ref="F19:F30" si="3">C19-E19</f>
        <v>0</v>
      </c>
    </row>
    <row r="20" spans="1:6" ht="23" customHeight="1" x14ac:dyDescent="0.2">
      <c r="A20" s="1" t="s">
        <v>135</v>
      </c>
      <c r="B20" s="1" t="s">
        <v>146</v>
      </c>
      <c r="C20" s="2">
        <v>100</v>
      </c>
      <c r="D20" s="2">
        <v>100</v>
      </c>
      <c r="E20" s="5">
        <f>SUM(E6:E8)</f>
        <v>50</v>
      </c>
      <c r="F20" s="5">
        <f t="shared" si="3"/>
        <v>50</v>
      </c>
    </row>
    <row r="21" spans="1:6" ht="23" customHeight="1" x14ac:dyDescent="0.2">
      <c r="A21" s="1" t="s">
        <v>139</v>
      </c>
      <c r="B21" s="1" t="s">
        <v>145</v>
      </c>
      <c r="C21" s="2">
        <v>100</v>
      </c>
      <c r="D21" s="2">
        <v>60</v>
      </c>
      <c r="E21" s="5">
        <f>SUM(D9:D11)</f>
        <v>100</v>
      </c>
      <c r="F21" s="5">
        <f t="shared" si="3"/>
        <v>0</v>
      </c>
    </row>
    <row r="22" spans="1:6" ht="23" customHeight="1" x14ac:dyDescent="0.2">
      <c r="A22" s="1" t="s">
        <v>139</v>
      </c>
      <c r="B22" s="1" t="s">
        <v>146</v>
      </c>
      <c r="C22" s="2">
        <v>100</v>
      </c>
      <c r="D22" s="2">
        <v>90</v>
      </c>
      <c r="E22" s="5">
        <f>SUM(E9:E11)</f>
        <v>50</v>
      </c>
      <c r="F22" s="5">
        <f t="shared" si="3"/>
        <v>50</v>
      </c>
    </row>
    <row r="23" spans="1:6" ht="23" customHeight="1" x14ac:dyDescent="0.2">
      <c r="A23" s="1" t="s">
        <v>140</v>
      </c>
      <c r="B23" s="1" t="s">
        <v>145</v>
      </c>
      <c r="C23" s="2">
        <v>100</v>
      </c>
      <c r="D23" s="2">
        <v>70</v>
      </c>
      <c r="E23" s="5">
        <f>SUM(D12:D14)</f>
        <v>0</v>
      </c>
      <c r="F23" s="5">
        <f t="shared" si="3"/>
        <v>100</v>
      </c>
    </row>
    <row r="24" spans="1:6" ht="23" customHeight="1" x14ac:dyDescent="0.2">
      <c r="A24" s="1" t="s">
        <v>140</v>
      </c>
      <c r="B24" s="1" t="s">
        <v>146</v>
      </c>
      <c r="C24" s="2">
        <v>80</v>
      </c>
      <c r="D24" s="2">
        <v>80</v>
      </c>
      <c r="E24" s="5">
        <f>SUM(E12:E14)</f>
        <v>0</v>
      </c>
      <c r="F24" s="5">
        <f t="shared" si="3"/>
        <v>80</v>
      </c>
    </row>
    <row r="25" spans="1:6" ht="23" customHeight="1" x14ac:dyDescent="0.2">
      <c r="A25" s="1" t="s">
        <v>145</v>
      </c>
      <c r="B25" s="1" t="s">
        <v>136</v>
      </c>
      <c r="C25" s="2">
        <v>150</v>
      </c>
      <c r="D25" s="2">
        <v>100</v>
      </c>
      <c r="E25" s="5">
        <f>D6+D9+D12</f>
        <v>50</v>
      </c>
      <c r="F25" s="5">
        <f t="shared" si="3"/>
        <v>100</v>
      </c>
    </row>
    <row r="26" spans="1:6" ht="23" customHeight="1" x14ac:dyDescent="0.2">
      <c r="A26" s="1" t="s">
        <v>145</v>
      </c>
      <c r="B26" s="1" t="s">
        <v>137</v>
      </c>
      <c r="C26" s="2">
        <v>120</v>
      </c>
      <c r="D26" s="2">
        <v>90</v>
      </c>
      <c r="E26" s="5">
        <f>D7+D10+D13</f>
        <v>110</v>
      </c>
      <c r="F26" s="5">
        <f t="shared" si="3"/>
        <v>10</v>
      </c>
    </row>
    <row r="27" spans="1:6" ht="23" customHeight="1" x14ac:dyDescent="0.2">
      <c r="A27" s="1" t="s">
        <v>145</v>
      </c>
      <c r="B27" s="1" t="s">
        <v>138</v>
      </c>
      <c r="C27" s="2">
        <v>100</v>
      </c>
      <c r="D27" s="2">
        <v>80</v>
      </c>
      <c r="E27" s="5">
        <f>D8+D11+D14</f>
        <v>90</v>
      </c>
      <c r="F27" s="5">
        <f t="shared" si="3"/>
        <v>10</v>
      </c>
    </row>
    <row r="28" spans="1:6" ht="23" customHeight="1" x14ac:dyDescent="0.2">
      <c r="A28" s="1" t="s">
        <v>146</v>
      </c>
      <c r="B28" s="1" t="s">
        <v>136</v>
      </c>
      <c r="C28" s="2">
        <v>120</v>
      </c>
      <c r="D28" s="2">
        <v>80</v>
      </c>
      <c r="E28" s="5">
        <f>E6+E9+E12</f>
        <v>100</v>
      </c>
      <c r="F28" s="5">
        <f t="shared" si="3"/>
        <v>20</v>
      </c>
    </row>
    <row r="29" spans="1:6" ht="23" customHeight="1" x14ac:dyDescent="0.2">
      <c r="A29" s="1" t="s">
        <v>146</v>
      </c>
      <c r="B29" s="1" t="s">
        <v>137</v>
      </c>
      <c r="C29" s="2">
        <v>150</v>
      </c>
      <c r="D29" s="2">
        <v>70</v>
      </c>
      <c r="E29" s="5">
        <f>E7+E10+E13</f>
        <v>0</v>
      </c>
      <c r="F29" s="5">
        <f t="shared" si="3"/>
        <v>150</v>
      </c>
    </row>
    <row r="30" spans="1:6" ht="23" customHeight="1" x14ac:dyDescent="0.2">
      <c r="A30" s="1" t="s">
        <v>146</v>
      </c>
      <c r="B30" s="1" t="s">
        <v>138</v>
      </c>
      <c r="C30" s="2">
        <v>120</v>
      </c>
      <c r="D30" s="2">
        <v>100</v>
      </c>
      <c r="E30" s="5">
        <f>E8+E11+E14</f>
        <v>0</v>
      </c>
      <c r="F30" s="5">
        <f t="shared" si="3"/>
        <v>120</v>
      </c>
    </row>
    <row r="32" spans="1:6" ht="30" customHeight="1" x14ac:dyDescent="0.2">
      <c r="A32" s="19" t="s">
        <v>147</v>
      </c>
      <c r="B32" s="19" t="s">
        <v>125</v>
      </c>
      <c r="C32" s="19" t="s">
        <v>148</v>
      </c>
      <c r="D32" s="19" t="s">
        <v>144</v>
      </c>
      <c r="E32" s="19" t="s">
        <v>16</v>
      </c>
    </row>
    <row r="33" spans="1:12" ht="23" customHeight="1" x14ac:dyDescent="0.2">
      <c r="A33" s="1" t="s">
        <v>135</v>
      </c>
      <c r="B33" s="1" t="s">
        <v>136</v>
      </c>
      <c r="C33" s="2">
        <v>0</v>
      </c>
      <c r="D33" s="5">
        <f t="shared" ref="D33:D41" si="4">F6</f>
        <v>0</v>
      </c>
      <c r="E33" s="5">
        <f t="shared" ref="E33:E41" si="5">C33-D33</f>
        <v>0</v>
      </c>
    </row>
    <row r="34" spans="1:12" ht="23" customHeight="1" x14ac:dyDescent="0.2">
      <c r="A34" s="1" t="s">
        <v>135</v>
      </c>
      <c r="B34" s="1" t="s">
        <v>137</v>
      </c>
      <c r="C34" s="2">
        <v>0</v>
      </c>
      <c r="D34" s="5">
        <f t="shared" si="4"/>
        <v>0</v>
      </c>
      <c r="E34" s="5">
        <f t="shared" si="5"/>
        <v>0</v>
      </c>
    </row>
    <row r="35" spans="1:12" ht="23" customHeight="1" x14ac:dyDescent="0.2">
      <c r="A35" s="1" t="s">
        <v>135</v>
      </c>
      <c r="B35" s="1" t="s">
        <v>138</v>
      </c>
      <c r="C35" s="2">
        <v>0</v>
      </c>
      <c r="D35" s="5">
        <f t="shared" si="4"/>
        <v>0</v>
      </c>
      <c r="E35" s="5">
        <f t="shared" si="5"/>
        <v>0</v>
      </c>
    </row>
    <row r="36" spans="1:12" ht="23" customHeight="1" x14ac:dyDescent="0.2">
      <c r="A36" s="1" t="s">
        <v>139</v>
      </c>
      <c r="B36" s="1" t="s">
        <v>136</v>
      </c>
      <c r="C36" s="2">
        <v>0</v>
      </c>
      <c r="D36" s="5">
        <f t="shared" si="4"/>
        <v>0</v>
      </c>
      <c r="E36" s="5">
        <f t="shared" si="5"/>
        <v>0</v>
      </c>
    </row>
    <row r="37" spans="1:12" ht="23" customHeight="1" x14ac:dyDescent="0.2">
      <c r="A37" s="1" t="s">
        <v>139</v>
      </c>
      <c r="B37" s="1" t="s">
        <v>137</v>
      </c>
      <c r="C37" s="2">
        <v>0</v>
      </c>
      <c r="D37" s="5">
        <f t="shared" si="4"/>
        <v>0</v>
      </c>
      <c r="E37" s="5">
        <f t="shared" si="5"/>
        <v>0</v>
      </c>
    </row>
    <row r="38" spans="1:12" ht="23" customHeight="1" x14ac:dyDescent="0.2">
      <c r="A38" s="1" t="s">
        <v>139</v>
      </c>
      <c r="B38" s="1" t="s">
        <v>138</v>
      </c>
      <c r="C38" s="2">
        <v>0</v>
      </c>
      <c r="D38" s="5">
        <f t="shared" si="4"/>
        <v>0</v>
      </c>
      <c r="E38" s="5">
        <f t="shared" si="5"/>
        <v>0</v>
      </c>
    </row>
    <row r="39" spans="1:12" ht="23" customHeight="1" x14ac:dyDescent="0.2">
      <c r="A39" s="1" t="s">
        <v>140</v>
      </c>
      <c r="B39" s="1" t="s">
        <v>136</v>
      </c>
      <c r="C39" s="2">
        <v>80</v>
      </c>
      <c r="D39" s="5">
        <f t="shared" si="4"/>
        <v>0</v>
      </c>
      <c r="E39" s="5">
        <f t="shared" si="5"/>
        <v>80</v>
      </c>
    </row>
    <row r="40" spans="1:12" ht="23" customHeight="1" x14ac:dyDescent="0.2">
      <c r="A40" s="1" t="s">
        <v>140</v>
      </c>
      <c r="B40" s="1" t="s">
        <v>137</v>
      </c>
      <c r="C40" s="2">
        <v>40</v>
      </c>
      <c r="D40" s="5">
        <f t="shared" si="4"/>
        <v>40</v>
      </c>
      <c r="E40" s="5">
        <f t="shared" si="5"/>
        <v>0</v>
      </c>
    </row>
    <row r="41" spans="1:12" ht="23" customHeight="1" x14ac:dyDescent="0.2">
      <c r="A41" s="1" t="s">
        <v>140</v>
      </c>
      <c r="B41" s="1" t="s">
        <v>138</v>
      </c>
      <c r="C41" s="2">
        <v>60</v>
      </c>
      <c r="D41" s="5">
        <f t="shared" si="4"/>
        <v>60</v>
      </c>
      <c r="E41" s="5">
        <f t="shared" si="5"/>
        <v>0</v>
      </c>
    </row>
    <row r="43" spans="1:12" ht="30" customHeight="1" x14ac:dyDescent="0.2">
      <c r="A43" s="19" t="s">
        <v>25</v>
      </c>
      <c r="B43" s="19" t="s">
        <v>26</v>
      </c>
    </row>
    <row r="44" spans="1:12" ht="25" customHeight="1" x14ac:dyDescent="0.2">
      <c r="A44" s="11" t="s">
        <v>149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27" customHeight="1" x14ac:dyDescent="0.2">
      <c r="A45" s="11" t="s">
        <v>150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30" customHeight="1" x14ac:dyDescent="0.2">
      <c r="A46" s="11" t="s">
        <v>151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8" spans="1:12" ht="30" customHeight="1" x14ac:dyDescent="0.2">
      <c r="A48" s="19" t="s">
        <v>30</v>
      </c>
      <c r="B48" s="19" t="s">
        <v>31</v>
      </c>
    </row>
    <row r="49" spans="1:12" ht="29" customHeight="1" x14ac:dyDescent="0.2">
      <c r="A49" t="s">
        <v>152</v>
      </c>
      <c r="B49" s="13" t="s">
        <v>153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29" customHeight="1" x14ac:dyDescent="0.2">
      <c r="A50" t="s">
        <v>154</v>
      </c>
      <c r="B50" s="13" t="s">
        <v>155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29" customHeight="1" x14ac:dyDescent="0.2">
      <c r="A51" t="s">
        <v>156</v>
      </c>
      <c r="B51" s="13" t="s">
        <v>157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29" customHeight="1" x14ac:dyDescent="0.2">
      <c r="A52" t="s">
        <v>158</v>
      </c>
      <c r="B52" s="13" t="s">
        <v>159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29" customHeight="1" x14ac:dyDescent="0.2">
      <c r="A53" t="s">
        <v>38</v>
      </c>
      <c r="B53" s="13" t="s">
        <v>160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29" customHeight="1" x14ac:dyDescent="0.2">
      <c r="A54" t="s">
        <v>161</v>
      </c>
      <c r="B54" s="13" t="s">
        <v>162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29" customHeight="1" x14ac:dyDescent="0.2">
      <c r="A55" t="s">
        <v>163</v>
      </c>
      <c r="B55" s="13" t="s">
        <v>164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29" customHeight="1" x14ac:dyDescent="0.2">
      <c r="A56" t="s">
        <v>165</v>
      </c>
      <c r="B56" s="13" t="s">
        <v>166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29" customHeight="1" x14ac:dyDescent="0.2">
      <c r="A57" t="s">
        <v>167</v>
      </c>
      <c r="B57" s="13" t="s">
        <v>168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</sheetData>
  <mergeCells count="15">
    <mergeCell ref="A1:L1"/>
    <mergeCell ref="A45:L45"/>
    <mergeCell ref="A46:L46"/>
    <mergeCell ref="B51:L51"/>
    <mergeCell ref="B49:L49"/>
    <mergeCell ref="B50:L50"/>
    <mergeCell ref="A2:L2"/>
    <mergeCell ref="B55:L55"/>
    <mergeCell ref="A44:L44"/>
    <mergeCell ref="A3:L3"/>
    <mergeCell ref="B56:L56"/>
    <mergeCell ref="B57:L57"/>
    <mergeCell ref="B54:L54"/>
    <mergeCell ref="B53:L53"/>
    <mergeCell ref="B52:L52"/>
  </mergeCells>
  <printOptions horizontalCentered="1" headings="1"/>
  <pageMargins left="0.75" right="0.75" top="1" bottom="1" header="0.5" footer="0.5"/>
  <pageSetup paperSize="9" fitToHeight="0" orientation="landscape"/>
  <headerFooter>
    <oddFooter>&amp;CDMU HW2 | mnagersh | Page &amp;P</oddFooter>
  </headerFooter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Right="0"/>
    <pageSetUpPr fitToPage="1"/>
  </sheetPr>
  <dimension ref="A1:J45"/>
  <sheetViews>
    <sheetView showGridLines="0" workbookViewId="0">
      <pane xSplit="1" ySplit="4" topLeftCell="B30" activePane="bottomRight" state="frozen"/>
      <selection pane="topRight"/>
      <selection pane="bottomLeft"/>
      <selection pane="bottomRight" activeCell="A40" sqref="A40:B40"/>
    </sheetView>
  </sheetViews>
  <sheetFormatPr baseColWidth="10" defaultColWidth="8.83203125" defaultRowHeight="15" x14ac:dyDescent="0.2"/>
  <cols>
    <col min="1" max="1" width="25" customWidth="1"/>
    <col min="2" max="7" width="16" customWidth="1"/>
    <col min="8" max="10" width="17" customWidth="1"/>
  </cols>
  <sheetData>
    <row r="1" spans="1:10" ht="29" customHeight="1" x14ac:dyDescent="0.3">
      <c r="A1" s="15" t="s">
        <v>175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x14ac:dyDescent="0.2">
      <c r="A2" s="12"/>
      <c r="B2" s="10"/>
      <c r="C2" s="10"/>
      <c r="D2" s="10"/>
      <c r="E2" s="10"/>
      <c r="F2" s="10"/>
      <c r="G2" s="10"/>
      <c r="H2" s="10"/>
      <c r="I2" s="10"/>
      <c r="J2" s="10"/>
    </row>
    <row r="4" spans="1:10" ht="30" customHeight="1" x14ac:dyDescent="0.2">
      <c r="A4" s="19" t="s">
        <v>176</v>
      </c>
      <c r="B4" s="19" t="s">
        <v>177</v>
      </c>
      <c r="C4" s="19" t="s">
        <v>178</v>
      </c>
      <c r="D4" s="19" t="s">
        <v>179</v>
      </c>
      <c r="E4" s="19" t="s">
        <v>180</v>
      </c>
      <c r="F4" s="19" t="s">
        <v>181</v>
      </c>
      <c r="G4" s="19" t="s">
        <v>182</v>
      </c>
    </row>
    <row r="5" spans="1:10" ht="23" customHeight="1" x14ac:dyDescent="0.2">
      <c r="A5" s="1" t="s">
        <v>177</v>
      </c>
      <c r="B5" s="2">
        <v>0</v>
      </c>
      <c r="C5" s="2">
        <v>5</v>
      </c>
      <c r="D5" s="2">
        <v>10</v>
      </c>
      <c r="E5" s="2">
        <v>100</v>
      </c>
      <c r="F5" s="2">
        <v>95</v>
      </c>
      <c r="G5" s="2">
        <v>85</v>
      </c>
    </row>
    <row r="6" spans="1:10" ht="23" customHeight="1" x14ac:dyDescent="0.2">
      <c r="A6" s="1" t="s">
        <v>178</v>
      </c>
      <c r="B6" s="2">
        <v>65</v>
      </c>
      <c r="C6" s="2">
        <v>0</v>
      </c>
      <c r="D6" s="2">
        <v>20</v>
      </c>
      <c r="E6" s="2">
        <v>45</v>
      </c>
      <c r="F6" s="2">
        <v>20</v>
      </c>
      <c r="G6" s="2">
        <v>0</v>
      </c>
    </row>
    <row r="7" spans="1:10" ht="23" customHeight="1" x14ac:dyDescent="0.2">
      <c r="A7" s="1" t="s">
        <v>179</v>
      </c>
      <c r="B7" s="2">
        <v>10</v>
      </c>
      <c r="C7" s="2">
        <v>70</v>
      </c>
      <c r="D7" s="2">
        <v>0</v>
      </c>
      <c r="E7" s="2">
        <v>60</v>
      </c>
      <c r="F7" s="2">
        <v>40</v>
      </c>
      <c r="G7" s="2">
        <v>25</v>
      </c>
    </row>
    <row r="8" spans="1:10" ht="23" customHeight="1" x14ac:dyDescent="0.2">
      <c r="A8" s="1" t="s">
        <v>180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65</v>
      </c>
    </row>
    <row r="9" spans="1:10" ht="23" customHeight="1" x14ac:dyDescent="0.2">
      <c r="A9" s="1" t="s">
        <v>181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50</v>
      </c>
    </row>
    <row r="10" spans="1:10" ht="23" customHeight="1" x14ac:dyDescent="0.2">
      <c r="A10" s="1" t="s">
        <v>182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</row>
    <row r="12" spans="1:10" ht="30" customHeight="1" x14ac:dyDescent="0.2">
      <c r="A12" s="11" t="s">
        <v>183</v>
      </c>
      <c r="B12" s="10"/>
      <c r="C12" s="10"/>
      <c r="D12" s="10"/>
      <c r="E12" s="10"/>
      <c r="F12" s="10"/>
      <c r="G12" s="10"/>
      <c r="H12" s="10"/>
      <c r="I12" s="10"/>
      <c r="J12" s="10"/>
    </row>
    <row r="14" spans="1:10" ht="30" customHeight="1" x14ac:dyDescent="0.2">
      <c r="A14" s="19" t="s">
        <v>184</v>
      </c>
      <c r="B14" s="19" t="s">
        <v>177</v>
      </c>
      <c r="C14" s="19" t="s">
        <v>178</v>
      </c>
      <c r="D14" s="19" t="s">
        <v>179</v>
      </c>
      <c r="E14" s="19" t="s">
        <v>180</v>
      </c>
      <c r="F14" s="19" t="s">
        <v>181</v>
      </c>
      <c r="G14" s="19" t="s">
        <v>182</v>
      </c>
      <c r="H14" s="19" t="s">
        <v>185</v>
      </c>
      <c r="I14" s="19" t="s">
        <v>143</v>
      </c>
    </row>
    <row r="15" spans="1:10" ht="23" customHeight="1" x14ac:dyDescent="0.2">
      <c r="A15" s="1" t="s">
        <v>177</v>
      </c>
      <c r="B15" s="3">
        <v>0</v>
      </c>
      <c r="C15" s="3">
        <v>0</v>
      </c>
      <c r="D15" s="3">
        <v>0</v>
      </c>
      <c r="E15" s="3">
        <v>1</v>
      </c>
      <c r="F15" s="3">
        <v>1</v>
      </c>
      <c r="G15" s="3">
        <v>1</v>
      </c>
      <c r="H15" s="5">
        <f t="shared" ref="H15:H20" si="0">SUM(B15:G15)</f>
        <v>3</v>
      </c>
      <c r="I15" s="2">
        <v>3</v>
      </c>
    </row>
    <row r="16" spans="1:10" ht="23" customHeight="1" x14ac:dyDescent="0.2">
      <c r="A16" s="1" t="s">
        <v>178</v>
      </c>
      <c r="B16" s="3">
        <v>1</v>
      </c>
      <c r="C16" s="3">
        <v>0</v>
      </c>
      <c r="D16" s="3">
        <v>1</v>
      </c>
      <c r="E16" s="3">
        <v>0</v>
      </c>
      <c r="F16" s="3">
        <v>0</v>
      </c>
      <c r="G16" s="3">
        <v>0</v>
      </c>
      <c r="H16" s="5">
        <f t="shared" si="0"/>
        <v>2</v>
      </c>
      <c r="I16" s="2">
        <v>3</v>
      </c>
    </row>
    <row r="17" spans="1:9" ht="23" customHeight="1" x14ac:dyDescent="0.2">
      <c r="A17" s="1" t="s">
        <v>179</v>
      </c>
      <c r="B17" s="3">
        <v>0</v>
      </c>
      <c r="C17" s="3">
        <v>1</v>
      </c>
      <c r="D17" s="3">
        <v>0</v>
      </c>
      <c r="E17" s="3">
        <v>0</v>
      </c>
      <c r="F17" s="3">
        <v>0</v>
      </c>
      <c r="G17" s="3">
        <v>0</v>
      </c>
      <c r="H17" s="5">
        <f t="shared" si="0"/>
        <v>1</v>
      </c>
      <c r="I17" s="2">
        <v>3</v>
      </c>
    </row>
    <row r="18" spans="1:9" ht="23" customHeight="1" x14ac:dyDescent="0.2">
      <c r="A18" s="1" t="s">
        <v>180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5">
        <f t="shared" si="0"/>
        <v>0</v>
      </c>
      <c r="I18" s="2">
        <v>3</v>
      </c>
    </row>
    <row r="19" spans="1:9" ht="23" customHeight="1" x14ac:dyDescent="0.2">
      <c r="A19" s="1" t="s">
        <v>181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5">
        <f t="shared" si="0"/>
        <v>0</v>
      </c>
      <c r="I19" s="2">
        <v>3</v>
      </c>
    </row>
    <row r="20" spans="1:9" ht="23" customHeight="1" x14ac:dyDescent="0.2">
      <c r="A20" s="1" t="s">
        <v>182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5">
        <f t="shared" si="0"/>
        <v>0</v>
      </c>
      <c r="I20" s="2">
        <v>3</v>
      </c>
    </row>
    <row r="22" spans="1:9" ht="23" customHeight="1" x14ac:dyDescent="0.2">
      <c r="A22" s="1" t="s">
        <v>186</v>
      </c>
      <c r="B22" s="5">
        <f t="shared" ref="B22:G22" si="1">SUM(B15:B20)</f>
        <v>1</v>
      </c>
      <c r="C22" s="5">
        <f t="shared" si="1"/>
        <v>1</v>
      </c>
      <c r="D22" s="5">
        <f t="shared" si="1"/>
        <v>1</v>
      </c>
      <c r="E22" s="5">
        <f t="shared" si="1"/>
        <v>1</v>
      </c>
      <c r="F22" s="5">
        <f t="shared" si="1"/>
        <v>1</v>
      </c>
      <c r="G22" s="5">
        <f t="shared" si="1"/>
        <v>1</v>
      </c>
    </row>
    <row r="23" spans="1:9" ht="23" customHeight="1" x14ac:dyDescent="0.2">
      <c r="A23" s="1" t="s">
        <v>187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</row>
    <row r="25" spans="1:9" ht="30" customHeight="1" x14ac:dyDescent="0.2">
      <c r="A25" s="19" t="s">
        <v>188</v>
      </c>
      <c r="B25" s="19" t="s">
        <v>177</v>
      </c>
      <c r="C25" s="19" t="s">
        <v>178</v>
      </c>
      <c r="D25" s="19" t="s">
        <v>179</v>
      </c>
      <c r="E25" s="19" t="s">
        <v>180</v>
      </c>
      <c r="F25" s="19" t="s">
        <v>181</v>
      </c>
      <c r="G25" s="19" t="s">
        <v>182</v>
      </c>
    </row>
    <row r="26" spans="1:9" ht="23" customHeight="1" x14ac:dyDescent="0.2">
      <c r="A26" s="1" t="s">
        <v>177</v>
      </c>
      <c r="B26" s="2">
        <v>0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</row>
    <row r="27" spans="1:9" ht="23" customHeight="1" x14ac:dyDescent="0.2">
      <c r="A27" s="1" t="s">
        <v>178</v>
      </c>
      <c r="B27" s="2">
        <v>1</v>
      </c>
      <c r="C27" s="2">
        <v>0</v>
      </c>
      <c r="D27" s="2">
        <v>1</v>
      </c>
      <c r="E27" s="2">
        <v>1</v>
      </c>
      <c r="F27" s="2">
        <v>1</v>
      </c>
      <c r="G27" s="2">
        <v>0</v>
      </c>
    </row>
    <row r="28" spans="1:9" ht="23" customHeight="1" x14ac:dyDescent="0.2">
      <c r="A28" s="1" t="s">
        <v>179</v>
      </c>
      <c r="B28" s="2">
        <v>1</v>
      </c>
      <c r="C28" s="2">
        <v>1</v>
      </c>
      <c r="D28" s="2">
        <v>0</v>
      </c>
      <c r="E28" s="2">
        <v>1</v>
      </c>
      <c r="F28" s="2">
        <v>1</v>
      </c>
      <c r="G28" s="2">
        <v>1</v>
      </c>
    </row>
    <row r="29" spans="1:9" ht="23" customHeight="1" x14ac:dyDescent="0.2">
      <c r="A29" s="1" t="s">
        <v>180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1</v>
      </c>
    </row>
    <row r="30" spans="1:9" ht="23" customHeight="1" x14ac:dyDescent="0.2">
      <c r="A30" s="1" t="s">
        <v>181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1</v>
      </c>
    </row>
    <row r="31" spans="1:9" ht="23" customHeight="1" x14ac:dyDescent="0.2">
      <c r="A31" s="1" t="s">
        <v>182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</row>
    <row r="33" spans="1:10" ht="23" customHeight="1" x14ac:dyDescent="0.2">
      <c r="A33" s="1" t="s">
        <v>189</v>
      </c>
      <c r="B33" s="9">
        <f>SUMPRODUCT(B5:G10,B15:G20)</f>
        <v>435</v>
      </c>
    </row>
    <row r="35" spans="1:10" ht="30" customHeight="1" x14ac:dyDescent="0.2">
      <c r="A35" s="19" t="s">
        <v>25</v>
      </c>
      <c r="B35" s="19" t="s">
        <v>26</v>
      </c>
    </row>
    <row r="36" spans="1:10" ht="25" customHeight="1" x14ac:dyDescent="0.2">
      <c r="A36" s="11" t="s">
        <v>190</v>
      </c>
      <c r="B36" s="10"/>
      <c r="C36" s="10"/>
      <c r="D36" s="10"/>
      <c r="E36" s="10"/>
      <c r="F36" s="10"/>
      <c r="G36" s="10"/>
      <c r="H36" s="10"/>
      <c r="I36" s="10"/>
      <c r="J36" s="10"/>
    </row>
    <row r="37" spans="1:10" ht="30" customHeight="1" x14ac:dyDescent="0.2">
      <c r="A37" s="11" t="s">
        <v>191</v>
      </c>
      <c r="B37" s="10"/>
      <c r="C37" s="10"/>
      <c r="D37" s="10"/>
      <c r="E37" s="10"/>
      <c r="F37" s="10"/>
      <c r="G37" s="10"/>
      <c r="H37" s="10"/>
      <c r="I37" s="10"/>
      <c r="J37" s="10"/>
    </row>
    <row r="38" spans="1:10" ht="26" customHeight="1" x14ac:dyDescent="0.2">
      <c r="A38" s="11" t="s">
        <v>192</v>
      </c>
      <c r="B38" s="10"/>
      <c r="C38" s="10"/>
      <c r="D38" s="10"/>
      <c r="E38" s="10"/>
      <c r="F38" s="10"/>
      <c r="G38" s="10"/>
      <c r="H38" s="10"/>
      <c r="I38" s="10"/>
      <c r="J38" s="10"/>
    </row>
    <row r="40" spans="1:10" ht="30" customHeight="1" x14ac:dyDescent="0.2">
      <c r="A40" s="19" t="s">
        <v>30</v>
      </c>
      <c r="B40" s="19" t="s">
        <v>31</v>
      </c>
    </row>
    <row r="41" spans="1:10" ht="29" customHeight="1" x14ac:dyDescent="0.2">
      <c r="A41" t="s">
        <v>193</v>
      </c>
      <c r="B41" s="13" t="s">
        <v>194</v>
      </c>
      <c r="C41" s="10"/>
      <c r="D41" s="10"/>
      <c r="E41" s="10"/>
      <c r="F41" s="10"/>
      <c r="G41" s="10"/>
      <c r="H41" s="10"/>
      <c r="I41" s="10"/>
      <c r="J41" s="10"/>
    </row>
    <row r="42" spans="1:10" ht="29" customHeight="1" x14ac:dyDescent="0.2">
      <c r="A42" t="s">
        <v>195</v>
      </c>
      <c r="B42" s="13" t="s">
        <v>196</v>
      </c>
      <c r="C42" s="10"/>
      <c r="D42" s="10"/>
      <c r="E42" s="10"/>
      <c r="F42" s="10"/>
      <c r="G42" s="10"/>
      <c r="H42" s="10"/>
      <c r="I42" s="10"/>
      <c r="J42" s="10"/>
    </row>
    <row r="43" spans="1:10" ht="29" customHeight="1" x14ac:dyDescent="0.2">
      <c r="A43" t="s">
        <v>197</v>
      </c>
      <c r="B43" s="13" t="s">
        <v>198</v>
      </c>
      <c r="C43" s="10"/>
      <c r="D43" s="10"/>
      <c r="E43" s="10"/>
      <c r="F43" s="10"/>
      <c r="G43" s="10"/>
      <c r="H43" s="10"/>
      <c r="I43" s="10"/>
      <c r="J43" s="10"/>
    </row>
    <row r="45" spans="1:10" ht="45" customHeight="1" x14ac:dyDescent="0.2">
      <c r="A45" s="11" t="s">
        <v>199</v>
      </c>
      <c r="B45" s="10"/>
      <c r="C45" s="10"/>
      <c r="D45" s="10"/>
      <c r="E45" s="10"/>
      <c r="F45" s="10"/>
      <c r="G45" s="10"/>
      <c r="H45" s="10"/>
      <c r="I45" s="10"/>
      <c r="J45" s="10"/>
    </row>
  </sheetData>
  <mergeCells count="10">
    <mergeCell ref="A1:J1"/>
    <mergeCell ref="A37:J37"/>
    <mergeCell ref="A45:J45"/>
    <mergeCell ref="A36:J36"/>
    <mergeCell ref="B42:J42"/>
    <mergeCell ref="A12:J12"/>
    <mergeCell ref="B41:J41"/>
    <mergeCell ref="A38:J38"/>
    <mergeCell ref="A2:J2"/>
    <mergeCell ref="B43:J43"/>
  </mergeCells>
  <printOptions horizontalCentered="1" headings="1"/>
  <pageMargins left="0.75" right="0.75" top="1" bottom="1" header="0.5" footer="0.5"/>
  <pageSetup paperSize="9" fitToHeight="0" orientation="landscape"/>
  <headerFooter>
    <oddFooter>&amp;CDMU HW2 | mnagersh | Page 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</vt:i4>
      </vt:variant>
    </vt:vector>
  </HeadingPairs>
  <TitlesOfParts>
    <vt:vector size="17" baseType="lpstr">
      <vt:lpstr>P1 Lunch</vt:lpstr>
      <vt:lpstr>P1 Sensitivity</vt:lpstr>
      <vt:lpstr>P1 Demand</vt:lpstr>
      <vt:lpstr>P2</vt:lpstr>
      <vt:lpstr>P3 Base</vt:lpstr>
      <vt:lpstr>P3 Pittsburgh</vt:lpstr>
      <vt:lpstr>P3 Cleveland</vt:lpstr>
      <vt:lpstr>P3 Columbus</vt:lpstr>
      <vt:lpstr>P4 Mentoring</vt:lpstr>
      <vt:lpstr>'P1 Demand'!Print_Area</vt:lpstr>
      <vt:lpstr>'P1 Lunch'!Print_Area</vt:lpstr>
      <vt:lpstr>'P1 Sensitivity'!Print_Area</vt:lpstr>
      <vt:lpstr>'P3 Base'!Print_Area</vt:lpstr>
      <vt:lpstr>'P3 Cleveland'!Print_Area</vt:lpstr>
      <vt:lpstr>'P3 Columbus'!Print_Area</vt:lpstr>
      <vt:lpstr>'P3 Pittsburgh'!Print_Area</vt:lpstr>
      <vt:lpstr>'P4 Mentoring'!Print_Area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Mahir Nagersheth</cp:lastModifiedBy>
  <dcterms:created xsi:type="dcterms:W3CDTF">2026-09-14T18:12:47Z</dcterms:created>
  <dcterms:modified xsi:type="dcterms:W3CDTF">2026-09-14T19:06:37Z</dcterms:modified>
</cp:coreProperties>
</file>